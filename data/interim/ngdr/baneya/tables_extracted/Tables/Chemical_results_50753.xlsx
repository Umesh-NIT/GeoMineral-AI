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activeTab="3"/>
  </bookViews>
  <sheets>
    <sheet name="PTS" sheetId="6" r:id="rId1"/>
    <sheet name="Channel" sheetId="4" r:id="rId2"/>
    <sheet name="Regolith" sheetId="5" r:id="rId3"/>
    <sheet name="BRS" sheetId="2" r:id="rId4"/>
    <sheet name="PCS" sheetId="3" r:id="rId5"/>
  </sheets>
  <calcPr calcId="152511"/>
</workbook>
</file>

<file path=xl/calcChain.xml><?xml version="1.0" encoding="utf-8"?>
<calcChain xmlns="http://schemas.openxmlformats.org/spreadsheetml/2006/main">
  <c r="AV6" i="2" l="1"/>
  <c r="AI3" i="4" l="1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2" i="4"/>
  <c r="BE31" i="2"/>
  <c r="BE22" i="2"/>
  <c r="BE23" i="2"/>
  <c r="BE24" i="2"/>
  <c r="BE25" i="2"/>
  <c r="BE26" i="2"/>
  <c r="BE27" i="2"/>
  <c r="BE28" i="2"/>
  <c r="BE29" i="2"/>
  <c r="BE30" i="2"/>
  <c r="BE32" i="2"/>
  <c r="BE33" i="2"/>
  <c r="BE34" i="2"/>
  <c r="BE35" i="2"/>
  <c r="BE36" i="2"/>
  <c r="BE37" i="2"/>
  <c r="BE38" i="2"/>
  <c r="BE39" i="2"/>
  <c r="BE40" i="2"/>
  <c r="BE41" i="2"/>
  <c r="BE42" i="2"/>
  <c r="BE43" i="2"/>
  <c r="BE44" i="2"/>
  <c r="BE45" i="2"/>
  <c r="BE46" i="2"/>
  <c r="BE47" i="2"/>
  <c r="BE48" i="2"/>
  <c r="BE49" i="2"/>
  <c r="BE50" i="2"/>
  <c r="BE51" i="2"/>
  <c r="BE52" i="2"/>
  <c r="BE4" i="2"/>
  <c r="BE5" i="2"/>
  <c r="BE6" i="2"/>
  <c r="BE7" i="2"/>
  <c r="BE8" i="2"/>
  <c r="BE9" i="2"/>
  <c r="BE10" i="2"/>
  <c r="BE11" i="2"/>
  <c r="BE12" i="2"/>
  <c r="BE13" i="2"/>
  <c r="BE14" i="2"/>
  <c r="BE15" i="2"/>
  <c r="BE16" i="2"/>
  <c r="BE17" i="2"/>
  <c r="BE18" i="2"/>
  <c r="BE19" i="2"/>
  <c r="BE20" i="2"/>
  <c r="BE21" i="2"/>
  <c r="BE3" i="2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6" i="6"/>
  <c r="AJ7" i="6"/>
  <c r="AJ8" i="6"/>
  <c r="AJ9" i="6"/>
  <c r="AJ10" i="6"/>
  <c r="AJ11" i="6"/>
  <c r="AJ12" i="6"/>
  <c r="AJ13" i="6"/>
  <c r="AJ4" i="6"/>
  <c r="AJ5" i="6"/>
  <c r="AJ3" i="6"/>
</calcChain>
</file>

<file path=xl/sharedStrings.xml><?xml version="1.0" encoding="utf-8"?>
<sst xmlns="http://schemas.openxmlformats.org/spreadsheetml/2006/main" count="1261" uniqueCount="279">
  <si>
    <t>Sample no.</t>
  </si>
  <si>
    <t>BRS/L-18</t>
  </si>
  <si>
    <t>BRS/L-22</t>
  </si>
  <si>
    <t>BRS/L-23</t>
  </si>
  <si>
    <t>BRS/L-26</t>
  </si>
  <si>
    <t>BRS/L-34</t>
  </si>
  <si>
    <t>BRS/L-38</t>
  </si>
  <si>
    <t>&lt;10</t>
  </si>
  <si>
    <t>&lt;2</t>
  </si>
  <si>
    <t>Be</t>
  </si>
  <si>
    <t>Sc*</t>
  </si>
  <si>
    <t>As</t>
  </si>
  <si>
    <t>Rb</t>
  </si>
  <si>
    <t>Y*</t>
  </si>
  <si>
    <t>Nb*</t>
  </si>
  <si>
    <t>Sn</t>
  </si>
  <si>
    <t>Cs*</t>
  </si>
  <si>
    <t>La</t>
  </si>
  <si>
    <t>Ce</t>
  </si>
  <si>
    <t>Pr</t>
  </si>
  <si>
    <t>Nd</t>
  </si>
  <si>
    <t>Eu</t>
  </si>
  <si>
    <t>Sm</t>
  </si>
  <si>
    <t>Gd</t>
  </si>
  <si>
    <t>Tb</t>
  </si>
  <si>
    <t>Dy</t>
  </si>
  <si>
    <t>Ho</t>
  </si>
  <si>
    <t>Er</t>
  </si>
  <si>
    <t>Tm</t>
  </si>
  <si>
    <t>Yb</t>
  </si>
  <si>
    <t>Lu</t>
  </si>
  <si>
    <t>Ta</t>
  </si>
  <si>
    <t>W*</t>
  </si>
  <si>
    <t>Th</t>
  </si>
  <si>
    <t>U</t>
  </si>
  <si>
    <t>mg/kg</t>
  </si>
  <si>
    <t>BRS/L-11A</t>
  </si>
  <si>
    <t>&lt;5</t>
  </si>
  <si>
    <t>BRS/L-91</t>
  </si>
  <si>
    <t>&lt;25</t>
  </si>
  <si>
    <t>BRS/L-95</t>
  </si>
  <si>
    <t>BRS/L-100</t>
  </si>
  <si>
    <t>BRS/L-104</t>
  </si>
  <si>
    <t>BRS/L-105</t>
  </si>
  <si>
    <t>BRS/L-108</t>
  </si>
  <si>
    <t>BRS/L-120</t>
  </si>
  <si>
    <t>BRS/L-121</t>
  </si>
  <si>
    <t>BRS/L-124</t>
  </si>
  <si>
    <t>BRS/L-128</t>
  </si>
  <si>
    <t>BRS/L-130</t>
  </si>
  <si>
    <t>BRS/L-131</t>
  </si>
  <si>
    <t>BRS/L-133</t>
  </si>
  <si>
    <t>V*</t>
  </si>
  <si>
    <t>Ga*</t>
  </si>
  <si>
    <t>Ge</t>
  </si>
  <si>
    <t>Sr*</t>
  </si>
  <si>
    <t>Ba*</t>
  </si>
  <si>
    <t>PCS/L-34</t>
  </si>
  <si>
    <t>PCS/L-34a</t>
  </si>
  <si>
    <t>SiO2</t>
  </si>
  <si>
    <t>Al2O3</t>
  </si>
  <si>
    <t>Fe2O3T</t>
  </si>
  <si>
    <t>CaO</t>
  </si>
  <si>
    <t>MgO</t>
  </si>
  <si>
    <t>Na2O</t>
  </si>
  <si>
    <t>K2O</t>
  </si>
  <si>
    <t>TiO2</t>
  </si>
  <si>
    <t>MnO</t>
  </si>
  <si>
    <t>P2O5</t>
  </si>
  <si>
    <t>LOI</t>
  </si>
  <si>
    <t>(%)</t>
  </si>
  <si>
    <t>PCS/L-62</t>
  </si>
  <si>
    <t>PCS/L-87</t>
  </si>
  <si>
    <t>PCS/L-54</t>
  </si>
  <si>
    <t>PCS/L-85</t>
  </si>
  <si>
    <t>PCS/L-142</t>
  </si>
  <si>
    <t>Bi</t>
  </si>
  <si>
    <t>Tl</t>
  </si>
  <si>
    <t>Li</t>
  </si>
  <si>
    <t>Cu</t>
  </si>
  <si>
    <t>Pb</t>
  </si>
  <si>
    <t>Zn</t>
  </si>
  <si>
    <t>Co</t>
  </si>
  <si>
    <t>Ni</t>
  </si>
  <si>
    <t>Cr</t>
  </si>
  <si>
    <t>Ag</t>
  </si>
  <si>
    <t>Au</t>
  </si>
  <si>
    <t xml:space="preserve"> (ppb)</t>
  </si>
  <si>
    <t>Sample</t>
  </si>
  <si>
    <t>CH-01</t>
  </si>
  <si>
    <t>CH-02</t>
  </si>
  <si>
    <t>CH-03</t>
  </si>
  <si>
    <t>CH-04</t>
  </si>
  <si>
    <t>CH-05</t>
  </si>
  <si>
    <t>CH-06</t>
  </si>
  <si>
    <t>Sample number</t>
  </si>
  <si>
    <t>PT-1/01</t>
  </si>
  <si>
    <t>PT-1/02</t>
  </si>
  <si>
    <t>PT-1/03</t>
  </si>
  <si>
    <t>PT-2/01</t>
  </si>
  <si>
    <t>PT-2/02</t>
  </si>
  <si>
    <t>PT-3/01</t>
  </si>
  <si>
    <t>PT-3/02</t>
  </si>
  <si>
    <t>PT-3/03</t>
  </si>
  <si>
    <t>PT-3/04</t>
  </si>
  <si>
    <t>PT-3/05</t>
  </si>
  <si>
    <t>BRS/L-112</t>
  </si>
  <si>
    <t>BRS/L-137</t>
  </si>
  <si>
    <t>&lt;1</t>
  </si>
  <si>
    <t>BRS/L-149</t>
  </si>
  <si>
    <t>BRS/L-170</t>
  </si>
  <si>
    <t>BRS/L-173</t>
  </si>
  <si>
    <t>BRS/L-178</t>
  </si>
  <si>
    <t>Sample No.</t>
  </si>
  <si>
    <t>R-01</t>
  </si>
  <si>
    <t>R-02</t>
  </si>
  <si>
    <t>R-03</t>
  </si>
  <si>
    <t>R-04</t>
  </si>
  <si>
    <t>BRS/L-179A</t>
  </si>
  <si>
    <t>BRS/L-179B</t>
  </si>
  <si>
    <t>BRS/L-197</t>
  </si>
  <si>
    <t>BRS/L-208</t>
  </si>
  <si>
    <t>BRS/L-210</t>
  </si>
  <si>
    <t>BRS/L-214</t>
  </si>
  <si>
    <t>BRS/L-220</t>
  </si>
  <si>
    <t>BRS/L-222</t>
  </si>
  <si>
    <t>BRS/L-224</t>
  </si>
  <si>
    <t>BRS/L-227</t>
  </si>
  <si>
    <t>BRS/L-231</t>
  </si>
  <si>
    <t>ppb</t>
  </si>
  <si>
    <t>&lt;0.1</t>
  </si>
  <si>
    <t>&lt;0.3</t>
  </si>
  <si>
    <t>&lt;0.02</t>
  </si>
  <si>
    <t>&lt;0.2</t>
  </si>
  <si>
    <t>&lt;0.5</t>
  </si>
  <si>
    <t>BRS/L-50</t>
  </si>
  <si>
    <t>BRS/L-53</t>
  </si>
  <si>
    <t>BRS/L-54</t>
  </si>
  <si>
    <t>BRS/L-61</t>
  </si>
  <si>
    <t>BRS/L-62</t>
  </si>
  <si>
    <t>BRS/L-68</t>
  </si>
  <si>
    <t>BRS/L-75</t>
  </si>
  <si>
    <t>BRS/L-78</t>
  </si>
  <si>
    <t>BRS/L-81</t>
  </si>
  <si>
    <t>BRS/L-244</t>
  </si>
  <si>
    <t>BRS/L-246</t>
  </si>
  <si>
    <t>BRS/L-262</t>
  </si>
  <si>
    <t>BRS/L-281</t>
  </si>
  <si>
    <t>&lt;0.01</t>
  </si>
  <si>
    <t>&lt;0.05</t>
  </si>
  <si>
    <t>CH-07</t>
  </si>
  <si>
    <t>CH-08</t>
  </si>
  <si>
    <t>CH-09</t>
  </si>
  <si>
    <t>CH-10</t>
  </si>
  <si>
    <t>CH-11</t>
  </si>
  <si>
    <t>CH-12</t>
  </si>
  <si>
    <t>CH-13</t>
  </si>
  <si>
    <t>CH-14</t>
  </si>
  <si>
    <t>CH-15</t>
  </si>
  <si>
    <t>CH-16</t>
  </si>
  <si>
    <t>CH-17</t>
  </si>
  <si>
    <t>CH-18</t>
  </si>
  <si>
    <t>CH-19</t>
  </si>
  <si>
    <t>CH-20</t>
  </si>
  <si>
    <t>CH-21</t>
  </si>
  <si>
    <t>CH-22</t>
  </si>
  <si>
    <t>CH-23</t>
  </si>
  <si>
    <t>CH-24</t>
  </si>
  <si>
    <t>CH-25</t>
  </si>
  <si>
    <t>CH-26</t>
  </si>
  <si>
    <t>PT-4/01</t>
  </si>
  <si>
    <t>PT-4/02</t>
  </si>
  <si>
    <t>PT-4/03</t>
  </si>
  <si>
    <t>PT-4/04</t>
  </si>
  <si>
    <t>PT-4/05</t>
  </si>
  <si>
    <t>PT-5/01</t>
  </si>
  <si>
    <t>PT-5/02</t>
  </si>
  <si>
    <t>PT-5/03</t>
  </si>
  <si>
    <t>PT-5/04</t>
  </si>
  <si>
    <t>PT-5/05</t>
  </si>
  <si>
    <t>PT-6/01</t>
  </si>
  <si>
    <t>PT-6/02</t>
  </si>
  <si>
    <t>PT-6/03</t>
  </si>
  <si>
    <t>PT-6/04</t>
  </si>
  <si>
    <t>PT-7/01</t>
  </si>
  <si>
    <t>PT-7/02</t>
  </si>
  <si>
    <t>PT-7/03</t>
  </si>
  <si>
    <t>PT-7/04</t>
  </si>
  <si>
    <t>PT-7/05</t>
  </si>
  <si>
    <t>PT-8/01</t>
  </si>
  <si>
    <t>PT-8/02</t>
  </si>
  <si>
    <t>PT-8/03</t>
  </si>
  <si>
    <t>PT-8/04</t>
  </si>
  <si>
    <t>PT-8/05</t>
  </si>
  <si>
    <t>PT-9/01</t>
  </si>
  <si>
    <t>nd</t>
  </si>
  <si>
    <t>PCS/L-156</t>
  </si>
  <si>
    <t>PCS/L-170</t>
  </si>
  <si>
    <t>PCS/L-243</t>
  </si>
  <si>
    <t>Pb(ppm)</t>
  </si>
  <si>
    <t>Zn(ppm)</t>
  </si>
  <si>
    <t>Cu(ppm)</t>
  </si>
  <si>
    <t>CH-27</t>
  </si>
  <si>
    <t>CH-28</t>
  </si>
  <si>
    <t>CH-29</t>
  </si>
  <si>
    <t>CH-30</t>
  </si>
  <si>
    <t>CH-31</t>
  </si>
  <si>
    <t>CH-32</t>
  </si>
  <si>
    <t>CH-33</t>
  </si>
  <si>
    <t>CH-34</t>
  </si>
  <si>
    <t>CH-35</t>
  </si>
  <si>
    <t>CH-36</t>
  </si>
  <si>
    <t>CH-37</t>
  </si>
  <si>
    <t>CH-38</t>
  </si>
  <si>
    <t>CH-39</t>
  </si>
  <si>
    <t>CH-40</t>
  </si>
  <si>
    <t>CH-41</t>
  </si>
  <si>
    <t>CH-42</t>
  </si>
  <si>
    <t>CH-43</t>
  </si>
  <si>
    <t>CH-44</t>
  </si>
  <si>
    <t>CH-45</t>
  </si>
  <si>
    <t>CH-46</t>
  </si>
  <si>
    <t>CH-47</t>
  </si>
  <si>
    <t>CH-48</t>
  </si>
  <si>
    <t>CH-49</t>
  </si>
  <si>
    <t>CH-50</t>
  </si>
  <si>
    <t>Ni(ppm)</t>
  </si>
  <si>
    <t>Co(ppm)</t>
  </si>
  <si>
    <t>Cr(ppm)</t>
  </si>
  <si>
    <t>PT-9/02</t>
  </si>
  <si>
    <t>PT-9/03</t>
  </si>
  <si>
    <t>PT-10/01</t>
  </si>
  <si>
    <t>PT-10/02</t>
  </si>
  <si>
    <t>PT-10/03</t>
  </si>
  <si>
    <t>PT-11/01</t>
  </si>
  <si>
    <t>PT-11/02</t>
  </si>
  <si>
    <t>PT-11/03</t>
  </si>
  <si>
    <t>PT-11/04</t>
  </si>
  <si>
    <t>PT-12/01</t>
  </si>
  <si>
    <t>PT-12/02</t>
  </si>
  <si>
    <t>PT-12/03</t>
  </si>
  <si>
    <t>PT-12/04</t>
  </si>
  <si>
    <t>PT-13/01</t>
  </si>
  <si>
    <t>PT-13/02</t>
  </si>
  <si>
    <t>R-05</t>
  </si>
  <si>
    <t>R-06</t>
  </si>
  <si>
    <t>R-07</t>
  </si>
  <si>
    <t>R-08</t>
  </si>
  <si>
    <t>R-09</t>
  </si>
  <si>
    <t>R-10</t>
  </si>
  <si>
    <t>R-11</t>
  </si>
  <si>
    <t>R-12</t>
  </si>
  <si>
    <t>R-13</t>
  </si>
  <si>
    <t>R-14</t>
  </si>
  <si>
    <t>R-15</t>
  </si>
  <si>
    <t>R-16</t>
  </si>
  <si>
    <t>R-17</t>
  </si>
  <si>
    <t>R-18</t>
  </si>
  <si>
    <t>R-19</t>
  </si>
  <si>
    <t>R-20</t>
  </si>
  <si>
    <t>Zr*</t>
  </si>
  <si>
    <t>Lab no.</t>
  </si>
  <si>
    <t>2025-1040(1-03)</t>
  </si>
  <si>
    <t>2025-1039(1-4)</t>
  </si>
  <si>
    <t>2025-1037(1-40)</t>
  </si>
  <si>
    <t>2025-928(1-44)</t>
  </si>
  <si>
    <t>2025-874(1-6)</t>
  </si>
  <si>
    <t>2025-873(1-4)</t>
  </si>
  <si>
    <t>2025-521(1-13)</t>
  </si>
  <si>
    <t>2025-520(1-3)</t>
  </si>
  <si>
    <t>2025-340(1-2)</t>
  </si>
  <si>
    <t>2025-339(1-9)</t>
  </si>
  <si>
    <t>2025-275 (1-7)</t>
  </si>
  <si>
    <t>2025-274 (1-2)</t>
  </si>
  <si>
    <t>2025-872(1-10)</t>
  </si>
  <si>
    <t>2025-875(1-6)</t>
  </si>
  <si>
    <t>2025-871(1-11)</t>
  </si>
  <si>
    <t>2025-1038(1-16)</t>
  </si>
  <si>
    <t>Nb+Ta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</si>
</sst>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/>
    <xf numFmtId="0" fontId="1" fillId="0" borderId="0" xfId="0" applyFont="1"/>
    <xf numFmtId="0" fontId="3" fillId="0" borderId="0" xfId="0" applyFont="1" applyBorder="1" applyAlignment="1">
      <alignment horizontal="center" vertical="center" wrapText="1"/>
    </xf>
    <xf numFmtId="10" fontId="0" fillId="0" borderId="0" xfId="0" applyNumberFormat="1"/>
    <xf numFmtId="0" fontId="0" fillId="0" borderId="0" xfId="0" applyFont="1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2"/>
  <sheetViews>
    <sheetView topLeftCell="Z1" workbookViewId="0">
      <selection activeCell="AM5" sqref="AM5"/>
    </sheetView>
  </sheetViews>
  <sheetFormatPr defaultRowHeight="15" x14ac:dyDescent="0.25"/>
  <cols>
    <col min="1" max="1" width="15.5703125" customWidth="1"/>
    <col min="2" max="2" width="9.85546875" customWidth="1"/>
    <col min="7" max="7" width="7" customWidth="1"/>
    <col min="27" max="27" width="8.140625" customWidth="1"/>
    <col min="28" max="28" width="8" customWidth="1"/>
    <col min="31" max="31" width="7" customWidth="1"/>
    <col min="32" max="32" width="7.85546875" customWidth="1"/>
    <col min="33" max="33" width="7.28515625" customWidth="1"/>
    <col min="34" max="34" width="6.42578125" customWidth="1"/>
  </cols>
  <sheetData>
    <row r="1" spans="1:36" x14ac:dyDescent="0.25">
      <c r="A1" t="s">
        <v>261</v>
      </c>
      <c r="B1" t="s">
        <v>88</v>
      </c>
      <c r="C1" t="s">
        <v>79</v>
      </c>
      <c r="D1" t="s">
        <v>80</v>
      </c>
      <c r="E1" t="s">
        <v>81</v>
      </c>
      <c r="F1" t="s">
        <v>78</v>
      </c>
      <c r="G1" t="s">
        <v>85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86</v>
      </c>
      <c r="AJ1" t="s">
        <v>278</v>
      </c>
    </row>
    <row r="2" spans="1:36" x14ac:dyDescent="0.25"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  <c r="AE2" t="s">
        <v>35</v>
      </c>
      <c r="AF2" t="s">
        <v>35</v>
      </c>
      <c r="AG2" t="s">
        <v>35</v>
      </c>
      <c r="AH2" t="s">
        <v>129</v>
      </c>
    </row>
    <row r="3" spans="1:36" x14ac:dyDescent="0.25">
      <c r="A3" t="s">
        <v>274</v>
      </c>
      <c r="B3" t="s">
        <v>96</v>
      </c>
      <c r="C3">
        <v>15</v>
      </c>
      <c r="D3">
        <v>20</v>
      </c>
      <c r="E3">
        <v>60</v>
      </c>
      <c r="F3">
        <v>50</v>
      </c>
      <c r="G3" t="s">
        <v>8</v>
      </c>
      <c r="H3">
        <v>9.6999999999999993</v>
      </c>
      <c r="I3">
        <v>9.8800000000000008</v>
      </c>
      <c r="J3" t="s">
        <v>8</v>
      </c>
      <c r="K3">
        <v>476.85</v>
      </c>
      <c r="L3">
        <v>17.829999999999998</v>
      </c>
      <c r="M3">
        <v>76.41</v>
      </c>
      <c r="N3" t="s">
        <v>37</v>
      </c>
      <c r="O3">
        <v>29.52</v>
      </c>
      <c r="P3">
        <v>25.68</v>
      </c>
      <c r="Q3">
        <v>74.900000000000006</v>
      </c>
      <c r="R3">
        <v>5.18</v>
      </c>
      <c r="S3">
        <v>18.739999999999998</v>
      </c>
      <c r="T3">
        <v>0.76</v>
      </c>
      <c r="U3">
        <v>3.59</v>
      </c>
      <c r="V3">
        <v>3.33</v>
      </c>
      <c r="W3">
        <v>0.55000000000000004</v>
      </c>
      <c r="X3">
        <v>3.28</v>
      </c>
      <c r="Y3">
        <v>0.59</v>
      </c>
      <c r="Z3">
        <v>1.71</v>
      </c>
      <c r="AA3">
        <v>0.27</v>
      </c>
      <c r="AB3">
        <v>1.76</v>
      </c>
      <c r="AC3">
        <v>0.25</v>
      </c>
      <c r="AD3">
        <v>14.43</v>
      </c>
      <c r="AE3">
        <v>6.6</v>
      </c>
      <c r="AF3">
        <v>8.02</v>
      </c>
      <c r="AG3">
        <v>1.77</v>
      </c>
      <c r="AH3" t="s">
        <v>39</v>
      </c>
      <c r="AJ3">
        <f>M3+AD3</f>
        <v>90.84</v>
      </c>
    </row>
    <row r="4" spans="1:36" x14ac:dyDescent="0.25">
      <c r="A4" t="s">
        <v>274</v>
      </c>
      <c r="B4" t="s">
        <v>97</v>
      </c>
      <c r="C4">
        <v>15</v>
      </c>
      <c r="D4">
        <v>20</v>
      </c>
      <c r="E4">
        <v>60</v>
      </c>
      <c r="F4">
        <v>65</v>
      </c>
      <c r="G4" t="s">
        <v>8</v>
      </c>
      <c r="H4">
        <v>7.45</v>
      </c>
      <c r="I4">
        <v>8.85</v>
      </c>
      <c r="J4" t="s">
        <v>8</v>
      </c>
      <c r="K4">
        <v>165.56</v>
      </c>
      <c r="L4">
        <v>15.86</v>
      </c>
      <c r="M4">
        <v>18.190000000000001</v>
      </c>
      <c r="N4" t="s">
        <v>37</v>
      </c>
      <c r="O4">
        <v>34.42</v>
      </c>
      <c r="P4">
        <v>39.17</v>
      </c>
      <c r="Q4">
        <v>104.78</v>
      </c>
      <c r="R4">
        <v>7.69</v>
      </c>
      <c r="S4">
        <v>26.7</v>
      </c>
      <c r="T4">
        <v>1.24</v>
      </c>
      <c r="U4">
        <v>4.2300000000000004</v>
      </c>
      <c r="V4">
        <v>3.87</v>
      </c>
      <c r="W4">
        <v>0.56000000000000005</v>
      </c>
      <c r="X4">
        <v>3.05</v>
      </c>
      <c r="Y4">
        <v>0.59</v>
      </c>
      <c r="Z4">
        <v>1.74</v>
      </c>
      <c r="AA4">
        <v>0.3</v>
      </c>
      <c r="AB4">
        <v>1.95</v>
      </c>
      <c r="AC4">
        <v>0.32</v>
      </c>
      <c r="AD4">
        <v>2</v>
      </c>
      <c r="AE4" t="s">
        <v>37</v>
      </c>
      <c r="AF4">
        <v>29.42</v>
      </c>
      <c r="AG4">
        <v>2.75</v>
      </c>
      <c r="AH4" t="s">
        <v>39</v>
      </c>
      <c r="AJ4">
        <f t="shared" ref="AJ4:AJ52" si="0">M4+AD4</f>
        <v>20.190000000000001</v>
      </c>
    </row>
    <row r="5" spans="1:36" x14ac:dyDescent="0.25">
      <c r="A5" t="s">
        <v>274</v>
      </c>
      <c r="B5" t="s">
        <v>98</v>
      </c>
      <c r="C5">
        <v>10</v>
      </c>
      <c r="D5">
        <v>25</v>
      </c>
      <c r="E5">
        <v>70</v>
      </c>
      <c r="F5">
        <v>50</v>
      </c>
      <c r="G5" t="s">
        <v>8</v>
      </c>
      <c r="H5">
        <v>10.11</v>
      </c>
      <c r="I5">
        <v>10.55</v>
      </c>
      <c r="J5" t="s">
        <v>8</v>
      </c>
      <c r="K5">
        <v>128.16</v>
      </c>
      <c r="L5">
        <v>22.75</v>
      </c>
      <c r="M5">
        <v>22.96</v>
      </c>
      <c r="N5" t="s">
        <v>37</v>
      </c>
      <c r="O5">
        <v>23.4</v>
      </c>
      <c r="P5">
        <v>27.1</v>
      </c>
      <c r="Q5">
        <v>64.319999999999993</v>
      </c>
      <c r="R5">
        <v>6.49</v>
      </c>
      <c r="S5">
        <v>25.21</v>
      </c>
      <c r="T5">
        <v>1.33</v>
      </c>
      <c r="U5">
        <v>5.38</v>
      </c>
      <c r="V5">
        <v>4.75</v>
      </c>
      <c r="W5">
        <v>0.78</v>
      </c>
      <c r="X5">
        <v>4.3099999999999996</v>
      </c>
      <c r="Y5">
        <v>0.83</v>
      </c>
      <c r="Z5">
        <v>2.33</v>
      </c>
      <c r="AA5">
        <v>0.37</v>
      </c>
      <c r="AB5">
        <v>2.34</v>
      </c>
      <c r="AC5">
        <v>0.38</v>
      </c>
      <c r="AD5">
        <v>3.74</v>
      </c>
      <c r="AE5">
        <v>5.1100000000000003</v>
      </c>
      <c r="AF5">
        <v>16.88</v>
      </c>
      <c r="AG5">
        <v>3.93</v>
      </c>
      <c r="AH5" t="s">
        <v>39</v>
      </c>
      <c r="AJ5">
        <f t="shared" si="0"/>
        <v>26.700000000000003</v>
      </c>
    </row>
    <row r="6" spans="1:36" x14ac:dyDescent="0.25">
      <c r="A6" t="s">
        <v>274</v>
      </c>
      <c r="B6" t="s">
        <v>99</v>
      </c>
      <c r="C6">
        <v>15</v>
      </c>
      <c r="D6">
        <v>15</v>
      </c>
      <c r="E6">
        <v>50</v>
      </c>
      <c r="F6">
        <v>75</v>
      </c>
      <c r="G6" t="s">
        <v>8</v>
      </c>
      <c r="H6">
        <v>6.2</v>
      </c>
      <c r="I6">
        <v>9.3000000000000007</v>
      </c>
      <c r="J6" t="s">
        <v>8</v>
      </c>
      <c r="K6">
        <v>167.52</v>
      </c>
      <c r="L6">
        <v>16.350000000000001</v>
      </c>
      <c r="M6">
        <v>17.47</v>
      </c>
      <c r="N6" t="s">
        <v>37</v>
      </c>
      <c r="O6">
        <v>32.11</v>
      </c>
      <c r="P6">
        <v>42.29</v>
      </c>
      <c r="Q6">
        <v>113.17</v>
      </c>
      <c r="R6">
        <v>7.82</v>
      </c>
      <c r="S6">
        <v>27.44</v>
      </c>
      <c r="T6">
        <v>1.37</v>
      </c>
      <c r="U6">
        <v>4.5599999999999996</v>
      </c>
      <c r="V6">
        <v>4.04</v>
      </c>
      <c r="W6">
        <v>0.57999999999999996</v>
      </c>
      <c r="X6">
        <v>3.11</v>
      </c>
      <c r="Y6">
        <v>0.56999999999999995</v>
      </c>
      <c r="Z6">
        <v>1.72</v>
      </c>
      <c r="AA6">
        <v>0.27</v>
      </c>
      <c r="AB6">
        <v>1.8</v>
      </c>
      <c r="AC6">
        <v>0.3</v>
      </c>
      <c r="AD6">
        <v>1.29</v>
      </c>
      <c r="AE6" t="s">
        <v>37</v>
      </c>
      <c r="AF6">
        <v>23.94</v>
      </c>
      <c r="AG6">
        <v>2.17</v>
      </c>
      <c r="AH6" t="s">
        <v>39</v>
      </c>
      <c r="AJ6">
        <f t="shared" si="0"/>
        <v>18.759999999999998</v>
      </c>
    </row>
    <row r="7" spans="1:36" x14ac:dyDescent="0.25">
      <c r="A7" t="s">
        <v>274</v>
      </c>
      <c r="B7" t="s">
        <v>100</v>
      </c>
      <c r="C7">
        <v>10</v>
      </c>
      <c r="D7">
        <v>25</v>
      </c>
      <c r="E7">
        <v>50</v>
      </c>
      <c r="F7">
        <v>55</v>
      </c>
      <c r="G7" t="s">
        <v>8</v>
      </c>
      <c r="H7">
        <v>6.87</v>
      </c>
      <c r="I7">
        <v>10.42</v>
      </c>
      <c r="J7" t="s">
        <v>8</v>
      </c>
      <c r="K7">
        <v>876.27</v>
      </c>
      <c r="L7">
        <v>14.17</v>
      </c>
      <c r="M7">
        <v>18.89</v>
      </c>
      <c r="N7" t="s">
        <v>37</v>
      </c>
      <c r="O7">
        <v>35.909999999999997</v>
      </c>
      <c r="P7">
        <v>24.09</v>
      </c>
      <c r="Q7">
        <v>57.53</v>
      </c>
      <c r="R7">
        <v>4.75</v>
      </c>
      <c r="S7">
        <v>16.82</v>
      </c>
      <c r="T7">
        <v>0.75</v>
      </c>
      <c r="U7">
        <v>3.26</v>
      </c>
      <c r="V7">
        <v>2.91</v>
      </c>
      <c r="W7">
        <v>0.48</v>
      </c>
      <c r="X7">
        <v>2.67</v>
      </c>
      <c r="Y7">
        <v>0.52</v>
      </c>
      <c r="Z7">
        <v>1.48</v>
      </c>
      <c r="AA7">
        <v>0.24</v>
      </c>
      <c r="AB7">
        <v>1.49</v>
      </c>
      <c r="AC7">
        <v>0.24</v>
      </c>
      <c r="AD7">
        <v>2.5099999999999998</v>
      </c>
      <c r="AE7" t="s">
        <v>37</v>
      </c>
      <c r="AF7">
        <v>19.760000000000002</v>
      </c>
      <c r="AG7">
        <v>2.36</v>
      </c>
      <c r="AH7" t="s">
        <v>39</v>
      </c>
      <c r="AJ7">
        <f t="shared" si="0"/>
        <v>21.4</v>
      </c>
    </row>
    <row r="8" spans="1:36" x14ac:dyDescent="0.25">
      <c r="A8" t="s">
        <v>274</v>
      </c>
      <c r="B8" t="s">
        <v>101</v>
      </c>
      <c r="C8" t="s">
        <v>7</v>
      </c>
      <c r="D8">
        <v>15</v>
      </c>
      <c r="E8">
        <v>50</v>
      </c>
      <c r="F8">
        <v>20</v>
      </c>
      <c r="G8" t="s">
        <v>8</v>
      </c>
      <c r="H8">
        <v>2.91</v>
      </c>
      <c r="I8">
        <v>9.6300000000000008</v>
      </c>
      <c r="J8" t="s">
        <v>8</v>
      </c>
      <c r="K8">
        <v>76.27</v>
      </c>
      <c r="L8">
        <v>25.12</v>
      </c>
      <c r="M8">
        <v>9.15</v>
      </c>
      <c r="N8" t="s">
        <v>37</v>
      </c>
      <c r="O8">
        <v>5.16</v>
      </c>
      <c r="P8">
        <v>53.57</v>
      </c>
      <c r="Q8">
        <v>103.67</v>
      </c>
      <c r="R8">
        <v>10.43</v>
      </c>
      <c r="S8">
        <v>36.76</v>
      </c>
      <c r="T8">
        <v>1.64</v>
      </c>
      <c r="U8">
        <v>6.33</v>
      </c>
      <c r="V8">
        <v>5.47</v>
      </c>
      <c r="W8">
        <v>0.82</v>
      </c>
      <c r="X8">
        <v>4.72</v>
      </c>
      <c r="Y8">
        <v>0.94</v>
      </c>
      <c r="Z8">
        <v>2.85</v>
      </c>
      <c r="AA8">
        <v>0.46</v>
      </c>
      <c r="AB8">
        <v>3.18</v>
      </c>
      <c r="AC8">
        <v>0.51</v>
      </c>
      <c r="AD8">
        <v>0.63</v>
      </c>
      <c r="AE8" t="s">
        <v>37</v>
      </c>
      <c r="AF8">
        <v>21.09</v>
      </c>
      <c r="AG8">
        <v>2.42</v>
      </c>
      <c r="AH8" t="s">
        <v>39</v>
      </c>
      <c r="AJ8">
        <f t="shared" si="0"/>
        <v>9.7800000000000011</v>
      </c>
    </row>
    <row r="9" spans="1:36" x14ac:dyDescent="0.25">
      <c r="A9" t="s">
        <v>274</v>
      </c>
      <c r="B9" t="s">
        <v>102</v>
      </c>
      <c r="C9">
        <v>10</v>
      </c>
      <c r="D9">
        <v>25</v>
      </c>
      <c r="E9">
        <v>35</v>
      </c>
      <c r="F9">
        <v>15</v>
      </c>
      <c r="G9" t="s">
        <v>8</v>
      </c>
      <c r="H9">
        <v>5.58</v>
      </c>
      <c r="I9">
        <v>9.7899999999999991</v>
      </c>
      <c r="J9">
        <v>6.12</v>
      </c>
      <c r="K9">
        <v>117.97</v>
      </c>
      <c r="L9">
        <v>21.88</v>
      </c>
      <c r="M9">
        <v>67.66</v>
      </c>
      <c r="N9">
        <v>6.55</v>
      </c>
      <c r="O9">
        <v>5.38</v>
      </c>
      <c r="P9">
        <v>28.08</v>
      </c>
      <c r="Q9">
        <v>59.11</v>
      </c>
      <c r="R9">
        <v>5.8</v>
      </c>
      <c r="S9">
        <v>21.86</v>
      </c>
      <c r="T9">
        <v>0.89</v>
      </c>
      <c r="U9">
        <v>10.5</v>
      </c>
      <c r="V9">
        <v>3.76</v>
      </c>
      <c r="W9">
        <v>0.67</v>
      </c>
      <c r="X9">
        <v>4.21</v>
      </c>
      <c r="Y9">
        <v>0.78</v>
      </c>
      <c r="Z9">
        <v>2.2799999999999998</v>
      </c>
      <c r="AA9">
        <v>0.38</v>
      </c>
      <c r="AB9">
        <v>2.5499999999999998</v>
      </c>
      <c r="AC9">
        <v>0.38</v>
      </c>
      <c r="AD9">
        <v>6.53</v>
      </c>
      <c r="AE9">
        <v>7.05</v>
      </c>
      <c r="AF9">
        <v>13.72</v>
      </c>
      <c r="AG9">
        <v>4.5199999999999996</v>
      </c>
      <c r="AH9" t="s">
        <v>39</v>
      </c>
      <c r="AJ9">
        <f t="shared" si="0"/>
        <v>74.19</v>
      </c>
    </row>
    <row r="10" spans="1:36" x14ac:dyDescent="0.25">
      <c r="A10" t="s">
        <v>274</v>
      </c>
      <c r="B10" t="s">
        <v>103</v>
      </c>
      <c r="C10">
        <v>20</v>
      </c>
      <c r="D10">
        <v>15</v>
      </c>
      <c r="E10">
        <v>55</v>
      </c>
      <c r="F10">
        <v>25</v>
      </c>
      <c r="G10" t="s">
        <v>8</v>
      </c>
      <c r="H10">
        <v>4.05</v>
      </c>
      <c r="I10">
        <v>9.94</v>
      </c>
      <c r="J10">
        <v>2.76</v>
      </c>
      <c r="K10">
        <v>127.04</v>
      </c>
      <c r="L10">
        <v>33.86</v>
      </c>
      <c r="M10">
        <v>15.58</v>
      </c>
      <c r="N10" t="s">
        <v>37</v>
      </c>
      <c r="O10">
        <v>12.42</v>
      </c>
      <c r="P10">
        <v>69.430000000000007</v>
      </c>
      <c r="Q10">
        <v>132.66</v>
      </c>
      <c r="R10">
        <v>13.83</v>
      </c>
      <c r="S10">
        <v>50.79</v>
      </c>
      <c r="T10">
        <v>1.98</v>
      </c>
      <c r="U10">
        <v>8.89</v>
      </c>
      <c r="V10">
        <v>7.67</v>
      </c>
      <c r="W10">
        <v>1.2</v>
      </c>
      <c r="X10">
        <v>6.46</v>
      </c>
      <c r="Y10">
        <v>1.25</v>
      </c>
      <c r="Z10">
        <v>3.7</v>
      </c>
      <c r="AA10">
        <v>0.57999999999999996</v>
      </c>
      <c r="AB10">
        <v>3.92</v>
      </c>
      <c r="AC10">
        <v>0.63</v>
      </c>
      <c r="AD10">
        <v>1.35</v>
      </c>
      <c r="AE10" t="s">
        <v>37</v>
      </c>
      <c r="AF10">
        <v>29.28</v>
      </c>
      <c r="AG10">
        <v>4.0999999999999996</v>
      </c>
      <c r="AH10" t="s">
        <v>39</v>
      </c>
      <c r="AJ10">
        <f t="shared" si="0"/>
        <v>16.93</v>
      </c>
    </row>
    <row r="11" spans="1:36" x14ac:dyDescent="0.25">
      <c r="A11" t="s">
        <v>274</v>
      </c>
      <c r="B11" t="s">
        <v>104</v>
      </c>
      <c r="C11">
        <v>15</v>
      </c>
      <c r="D11">
        <v>30</v>
      </c>
      <c r="E11">
        <v>35</v>
      </c>
      <c r="F11">
        <v>15</v>
      </c>
      <c r="G11" t="s">
        <v>8</v>
      </c>
      <c r="H11">
        <v>4.78</v>
      </c>
      <c r="I11">
        <v>8.8800000000000008</v>
      </c>
      <c r="J11" t="s">
        <v>8</v>
      </c>
      <c r="K11">
        <v>125.24</v>
      </c>
      <c r="L11">
        <v>44.45</v>
      </c>
      <c r="M11">
        <v>13.15</v>
      </c>
      <c r="N11" t="s">
        <v>37</v>
      </c>
      <c r="O11">
        <v>6.55</v>
      </c>
      <c r="P11">
        <v>40.42</v>
      </c>
      <c r="Q11">
        <v>81.61</v>
      </c>
      <c r="R11">
        <v>8.3699999999999992</v>
      </c>
      <c r="S11">
        <v>30.28</v>
      </c>
      <c r="T11">
        <v>1.4</v>
      </c>
      <c r="U11">
        <v>5.92</v>
      </c>
      <c r="V11">
        <v>5.71</v>
      </c>
      <c r="W11">
        <v>1.1000000000000001</v>
      </c>
      <c r="X11">
        <v>7.16</v>
      </c>
      <c r="Y11">
        <v>1.5</v>
      </c>
      <c r="Z11">
        <v>4.75</v>
      </c>
      <c r="AA11">
        <v>0.88</v>
      </c>
      <c r="AB11">
        <v>5.97</v>
      </c>
      <c r="AC11">
        <v>1</v>
      </c>
      <c r="AD11">
        <v>1.5</v>
      </c>
      <c r="AE11" t="s">
        <v>37</v>
      </c>
      <c r="AF11">
        <v>25.17</v>
      </c>
      <c r="AG11">
        <v>6.94</v>
      </c>
      <c r="AH11" t="s">
        <v>39</v>
      </c>
      <c r="AJ11">
        <f t="shared" si="0"/>
        <v>14.65</v>
      </c>
    </row>
    <row r="12" spans="1:36" x14ac:dyDescent="0.25">
      <c r="A12" t="s">
        <v>274</v>
      </c>
      <c r="B12" t="s">
        <v>105</v>
      </c>
      <c r="C12">
        <v>25</v>
      </c>
      <c r="D12">
        <v>20</v>
      </c>
      <c r="E12">
        <v>50</v>
      </c>
      <c r="F12">
        <v>25</v>
      </c>
      <c r="G12" t="s">
        <v>8</v>
      </c>
      <c r="H12">
        <v>4.91</v>
      </c>
      <c r="I12">
        <v>8.94</v>
      </c>
      <c r="J12">
        <v>2.4700000000000002</v>
      </c>
      <c r="K12">
        <v>127.7</v>
      </c>
      <c r="L12">
        <v>45.45</v>
      </c>
      <c r="M12">
        <v>15.33</v>
      </c>
      <c r="N12" t="s">
        <v>37</v>
      </c>
      <c r="O12">
        <v>8.76</v>
      </c>
      <c r="P12">
        <v>51.16</v>
      </c>
      <c r="Q12">
        <v>109.16</v>
      </c>
      <c r="R12">
        <v>10.95</v>
      </c>
      <c r="S12">
        <v>40.299999999999997</v>
      </c>
      <c r="T12">
        <v>1.67</v>
      </c>
      <c r="U12">
        <v>7.66</v>
      </c>
      <c r="V12">
        <v>7.1</v>
      </c>
      <c r="W12">
        <v>1.23</v>
      </c>
      <c r="X12">
        <v>7.7</v>
      </c>
      <c r="Y12">
        <v>1.57</v>
      </c>
      <c r="Z12">
        <v>4.92</v>
      </c>
      <c r="AA12">
        <v>0.84</v>
      </c>
      <c r="AB12">
        <v>5.55</v>
      </c>
      <c r="AC12">
        <v>0.92</v>
      </c>
      <c r="AD12">
        <v>1.93</v>
      </c>
      <c r="AE12" t="s">
        <v>37</v>
      </c>
      <c r="AF12">
        <v>30.9</v>
      </c>
      <c r="AG12">
        <v>8.58</v>
      </c>
      <c r="AH12" t="s">
        <v>39</v>
      </c>
      <c r="AJ12">
        <f t="shared" si="0"/>
        <v>17.260000000000002</v>
      </c>
    </row>
    <row r="13" spans="1:36" x14ac:dyDescent="0.25">
      <c r="A13" t="s">
        <v>264</v>
      </c>
      <c r="B13" t="s">
        <v>170</v>
      </c>
      <c r="C13">
        <v>25</v>
      </c>
      <c r="D13">
        <v>20</v>
      </c>
      <c r="E13">
        <v>35</v>
      </c>
      <c r="F13">
        <v>15</v>
      </c>
      <c r="G13" t="s">
        <v>8</v>
      </c>
      <c r="H13">
        <v>48.22</v>
      </c>
      <c r="I13">
        <v>8.5</v>
      </c>
      <c r="J13">
        <v>20.6</v>
      </c>
      <c r="K13">
        <v>276.70999999999998</v>
      </c>
      <c r="L13">
        <v>15.9</v>
      </c>
      <c r="M13">
        <v>99.16</v>
      </c>
      <c r="N13">
        <v>13.54</v>
      </c>
      <c r="O13">
        <v>13.5</v>
      </c>
      <c r="P13">
        <v>16.97</v>
      </c>
      <c r="Q13">
        <v>32.53</v>
      </c>
      <c r="R13">
        <v>3.6</v>
      </c>
      <c r="S13">
        <v>13.45</v>
      </c>
      <c r="T13">
        <v>0.65</v>
      </c>
      <c r="U13">
        <v>2.67</v>
      </c>
      <c r="V13">
        <v>2.4300000000000002</v>
      </c>
      <c r="W13">
        <v>0.43</v>
      </c>
      <c r="X13">
        <v>2.56</v>
      </c>
      <c r="Y13">
        <v>0.47</v>
      </c>
      <c r="Z13">
        <v>1.44</v>
      </c>
      <c r="AA13">
        <v>0.28000000000000003</v>
      </c>
      <c r="AB13">
        <v>1.61</v>
      </c>
      <c r="AC13">
        <v>0.25</v>
      </c>
      <c r="AD13">
        <v>50.25</v>
      </c>
      <c r="AE13" t="s">
        <v>37</v>
      </c>
      <c r="AF13">
        <v>13.39</v>
      </c>
      <c r="AG13">
        <v>9.42</v>
      </c>
      <c r="AH13" t="s">
        <v>39</v>
      </c>
      <c r="AJ13">
        <f t="shared" si="0"/>
        <v>149.41</v>
      </c>
    </row>
    <row r="14" spans="1:36" x14ac:dyDescent="0.25">
      <c r="A14" t="s">
        <v>264</v>
      </c>
      <c r="B14" t="s">
        <v>171</v>
      </c>
      <c r="C14" t="s">
        <v>7</v>
      </c>
      <c r="D14">
        <v>15</v>
      </c>
      <c r="E14">
        <v>30</v>
      </c>
      <c r="F14">
        <v>10</v>
      </c>
      <c r="G14" t="s">
        <v>8</v>
      </c>
      <c r="H14">
        <v>57.51</v>
      </c>
      <c r="I14">
        <v>8.65</v>
      </c>
      <c r="J14">
        <v>20.77</v>
      </c>
      <c r="K14">
        <v>400.56</v>
      </c>
      <c r="L14">
        <v>7.31</v>
      </c>
      <c r="M14">
        <v>152.34</v>
      </c>
      <c r="N14">
        <v>15.73</v>
      </c>
      <c r="O14">
        <v>14.25</v>
      </c>
      <c r="P14">
        <v>8.3699999999999992</v>
      </c>
      <c r="Q14">
        <v>16.46</v>
      </c>
      <c r="R14">
        <v>1.77</v>
      </c>
      <c r="S14">
        <v>6.33</v>
      </c>
      <c r="T14">
        <v>0.25</v>
      </c>
      <c r="U14">
        <v>1.86</v>
      </c>
      <c r="V14">
        <v>1.2</v>
      </c>
      <c r="W14">
        <v>0.19</v>
      </c>
      <c r="X14">
        <v>1.21</v>
      </c>
      <c r="Y14">
        <v>0.23</v>
      </c>
      <c r="Z14">
        <v>0.72</v>
      </c>
      <c r="AA14">
        <v>0.13</v>
      </c>
      <c r="AB14">
        <v>0.87</v>
      </c>
      <c r="AC14">
        <v>0.11</v>
      </c>
      <c r="AD14">
        <v>95.33</v>
      </c>
      <c r="AE14">
        <v>6.18</v>
      </c>
      <c r="AF14">
        <v>10.64</v>
      </c>
      <c r="AG14">
        <v>4.7</v>
      </c>
      <c r="AH14" t="s">
        <v>39</v>
      </c>
      <c r="AJ14">
        <f t="shared" si="0"/>
        <v>247.67000000000002</v>
      </c>
    </row>
    <row r="15" spans="1:36" x14ac:dyDescent="0.25">
      <c r="A15" t="s">
        <v>264</v>
      </c>
      <c r="B15" t="s">
        <v>172</v>
      </c>
      <c r="C15">
        <v>10</v>
      </c>
      <c r="D15">
        <v>20</v>
      </c>
      <c r="E15">
        <v>40</v>
      </c>
      <c r="F15">
        <v>15</v>
      </c>
      <c r="G15" t="s">
        <v>8</v>
      </c>
      <c r="H15">
        <v>129.37</v>
      </c>
      <c r="I15">
        <v>8.82</v>
      </c>
      <c r="J15">
        <v>19.16</v>
      </c>
      <c r="K15">
        <v>256.14</v>
      </c>
      <c r="L15">
        <v>11.49</v>
      </c>
      <c r="M15">
        <v>182.5</v>
      </c>
      <c r="N15">
        <v>10.89</v>
      </c>
      <c r="O15">
        <v>12.49</v>
      </c>
      <c r="P15">
        <v>10.89</v>
      </c>
      <c r="Q15">
        <v>23.51</v>
      </c>
      <c r="R15">
        <v>2.35</v>
      </c>
      <c r="S15">
        <v>8.3699999999999992</v>
      </c>
      <c r="T15">
        <v>0.39</v>
      </c>
      <c r="U15">
        <v>2.36</v>
      </c>
      <c r="V15">
        <v>1.5</v>
      </c>
      <c r="W15">
        <v>0.3</v>
      </c>
      <c r="X15">
        <v>1.72</v>
      </c>
      <c r="Y15">
        <v>0.34</v>
      </c>
      <c r="Z15">
        <v>1.02</v>
      </c>
      <c r="AA15">
        <v>0.2</v>
      </c>
      <c r="AB15">
        <v>1.29</v>
      </c>
      <c r="AC15">
        <v>0.19</v>
      </c>
      <c r="AD15">
        <v>102.74</v>
      </c>
      <c r="AE15" t="s">
        <v>37</v>
      </c>
      <c r="AF15">
        <v>15.88</v>
      </c>
      <c r="AG15">
        <v>7.32</v>
      </c>
      <c r="AH15" t="s">
        <v>39</v>
      </c>
      <c r="AJ15">
        <f t="shared" si="0"/>
        <v>285.24</v>
      </c>
    </row>
    <row r="16" spans="1:36" x14ac:dyDescent="0.25">
      <c r="A16" t="s">
        <v>264</v>
      </c>
      <c r="B16" t="s">
        <v>173</v>
      </c>
      <c r="C16">
        <v>30</v>
      </c>
      <c r="D16">
        <v>20</v>
      </c>
      <c r="E16">
        <v>60</v>
      </c>
      <c r="F16">
        <v>30</v>
      </c>
      <c r="G16" t="s">
        <v>8</v>
      </c>
      <c r="H16">
        <v>14.32</v>
      </c>
      <c r="I16">
        <v>10.29</v>
      </c>
      <c r="J16">
        <v>31.25</v>
      </c>
      <c r="K16">
        <v>419.25</v>
      </c>
      <c r="L16">
        <v>26.3</v>
      </c>
      <c r="M16">
        <v>71.11</v>
      </c>
      <c r="N16">
        <v>17.18</v>
      </c>
      <c r="O16">
        <v>29.42</v>
      </c>
      <c r="P16">
        <v>35.79</v>
      </c>
      <c r="Q16">
        <v>79.290000000000006</v>
      </c>
      <c r="R16">
        <v>8.02</v>
      </c>
      <c r="S16">
        <v>30.91</v>
      </c>
      <c r="T16">
        <v>1.28</v>
      </c>
      <c r="U16">
        <v>5.53</v>
      </c>
      <c r="V16">
        <v>5.29</v>
      </c>
      <c r="W16">
        <v>0.81</v>
      </c>
      <c r="X16">
        <v>4.6500000000000004</v>
      </c>
      <c r="Y16">
        <v>0.89</v>
      </c>
      <c r="Z16">
        <v>2.74</v>
      </c>
      <c r="AA16">
        <v>0.45</v>
      </c>
      <c r="AB16">
        <v>2.69</v>
      </c>
      <c r="AC16">
        <v>0.43</v>
      </c>
      <c r="AD16">
        <v>31.01</v>
      </c>
      <c r="AE16" t="s">
        <v>37</v>
      </c>
      <c r="AF16">
        <v>19.7</v>
      </c>
      <c r="AG16">
        <v>3.43</v>
      </c>
      <c r="AH16" t="s">
        <v>39</v>
      </c>
      <c r="AJ16">
        <f t="shared" si="0"/>
        <v>102.12</v>
      </c>
    </row>
    <row r="17" spans="1:36" x14ac:dyDescent="0.25">
      <c r="A17" t="s">
        <v>264</v>
      </c>
      <c r="B17" t="s">
        <v>174</v>
      </c>
      <c r="C17">
        <v>20</v>
      </c>
      <c r="D17">
        <v>20</v>
      </c>
      <c r="E17">
        <v>60</v>
      </c>
      <c r="F17">
        <v>30</v>
      </c>
      <c r="G17" t="s">
        <v>8</v>
      </c>
      <c r="H17">
        <v>21.46</v>
      </c>
      <c r="I17">
        <v>9.1999999999999993</v>
      </c>
      <c r="J17">
        <v>25.7</v>
      </c>
      <c r="K17">
        <v>260.2</v>
      </c>
      <c r="L17">
        <v>18.32</v>
      </c>
      <c r="M17">
        <v>96.37</v>
      </c>
      <c r="N17">
        <v>4.38</v>
      </c>
      <c r="O17">
        <v>16.649999999999999</v>
      </c>
      <c r="P17">
        <v>26.86</v>
      </c>
      <c r="Q17">
        <v>53.33</v>
      </c>
      <c r="R17">
        <v>5.95</v>
      </c>
      <c r="S17">
        <v>22.85</v>
      </c>
      <c r="T17">
        <v>0.98</v>
      </c>
      <c r="U17">
        <v>4.04</v>
      </c>
      <c r="V17">
        <v>3.63</v>
      </c>
      <c r="W17">
        <v>0.61</v>
      </c>
      <c r="X17">
        <v>3.48</v>
      </c>
      <c r="Y17">
        <v>0.6</v>
      </c>
      <c r="Z17">
        <v>1.68</v>
      </c>
      <c r="AA17">
        <v>0.28999999999999998</v>
      </c>
      <c r="AB17">
        <v>1.8</v>
      </c>
      <c r="AC17">
        <v>0.26</v>
      </c>
      <c r="AD17">
        <v>61.53</v>
      </c>
      <c r="AE17" t="s">
        <v>37</v>
      </c>
      <c r="AF17">
        <v>14.46</v>
      </c>
      <c r="AG17">
        <v>4.72</v>
      </c>
      <c r="AH17" t="s">
        <v>39</v>
      </c>
      <c r="AJ17">
        <f t="shared" si="0"/>
        <v>157.9</v>
      </c>
    </row>
    <row r="18" spans="1:36" x14ac:dyDescent="0.25">
      <c r="A18" t="s">
        <v>264</v>
      </c>
      <c r="B18" t="s">
        <v>175</v>
      </c>
      <c r="C18">
        <v>30</v>
      </c>
      <c r="D18">
        <v>30</v>
      </c>
      <c r="E18">
        <v>75</v>
      </c>
      <c r="F18">
        <v>35</v>
      </c>
      <c r="G18" t="s">
        <v>8</v>
      </c>
      <c r="H18">
        <v>21.83</v>
      </c>
      <c r="I18">
        <v>9.99</v>
      </c>
      <c r="J18">
        <v>39.01</v>
      </c>
      <c r="K18">
        <v>238.76</v>
      </c>
      <c r="L18">
        <v>36.520000000000003</v>
      </c>
      <c r="M18">
        <v>52.8</v>
      </c>
      <c r="N18">
        <v>12.05</v>
      </c>
      <c r="O18">
        <v>21.73</v>
      </c>
      <c r="P18">
        <v>54.31</v>
      </c>
      <c r="Q18">
        <v>107.2</v>
      </c>
      <c r="R18">
        <v>11.86</v>
      </c>
      <c r="S18">
        <v>42.35</v>
      </c>
      <c r="T18">
        <v>1.59</v>
      </c>
      <c r="U18">
        <v>7.77</v>
      </c>
      <c r="V18">
        <v>6.9</v>
      </c>
      <c r="W18">
        <v>1.1599999999999999</v>
      </c>
      <c r="X18">
        <v>6.43</v>
      </c>
      <c r="Y18">
        <v>1.18</v>
      </c>
      <c r="Z18">
        <v>3.58</v>
      </c>
      <c r="AA18">
        <v>0.6</v>
      </c>
      <c r="AB18">
        <v>3.99</v>
      </c>
      <c r="AC18">
        <v>0.63</v>
      </c>
      <c r="AD18">
        <v>20.68</v>
      </c>
      <c r="AE18" t="s">
        <v>37</v>
      </c>
      <c r="AF18">
        <v>26.52</v>
      </c>
      <c r="AG18">
        <v>7.48</v>
      </c>
      <c r="AH18" t="s">
        <v>39</v>
      </c>
      <c r="AJ18">
        <f t="shared" si="0"/>
        <v>73.47999999999999</v>
      </c>
    </row>
    <row r="19" spans="1:36" x14ac:dyDescent="0.25">
      <c r="A19" t="s">
        <v>264</v>
      </c>
      <c r="B19" t="s">
        <v>176</v>
      </c>
      <c r="C19">
        <v>15</v>
      </c>
      <c r="D19">
        <v>55</v>
      </c>
      <c r="E19">
        <v>20</v>
      </c>
      <c r="F19">
        <v>10</v>
      </c>
      <c r="G19" t="s">
        <v>8</v>
      </c>
      <c r="H19">
        <v>22.97</v>
      </c>
      <c r="I19">
        <v>10.41</v>
      </c>
      <c r="J19">
        <v>24.54</v>
      </c>
      <c r="K19">
        <v>434.26</v>
      </c>
      <c r="L19">
        <v>31.15</v>
      </c>
      <c r="M19">
        <v>141.65</v>
      </c>
      <c r="N19">
        <v>11.54</v>
      </c>
      <c r="O19">
        <v>32.99</v>
      </c>
      <c r="P19">
        <v>22.46</v>
      </c>
      <c r="Q19">
        <v>44.28</v>
      </c>
      <c r="R19">
        <v>5.13</v>
      </c>
      <c r="S19">
        <v>18.07</v>
      </c>
      <c r="T19">
        <v>0.5</v>
      </c>
      <c r="U19">
        <v>4.09</v>
      </c>
      <c r="V19">
        <v>3.91</v>
      </c>
      <c r="W19">
        <v>0.73</v>
      </c>
      <c r="X19">
        <v>4.3499999999999996</v>
      </c>
      <c r="Y19">
        <v>0.73</v>
      </c>
      <c r="Z19">
        <v>2.46</v>
      </c>
      <c r="AA19">
        <v>0.47</v>
      </c>
      <c r="AB19">
        <v>3.15</v>
      </c>
      <c r="AC19">
        <v>0.47</v>
      </c>
      <c r="AD19">
        <v>91.37</v>
      </c>
      <c r="AE19" t="s">
        <v>37</v>
      </c>
      <c r="AF19">
        <v>18.45</v>
      </c>
      <c r="AG19">
        <v>13.32</v>
      </c>
      <c r="AH19" t="s">
        <v>39</v>
      </c>
      <c r="AJ19">
        <f t="shared" si="0"/>
        <v>233.02</v>
      </c>
    </row>
    <row r="20" spans="1:36" x14ac:dyDescent="0.25">
      <c r="A20" t="s">
        <v>264</v>
      </c>
      <c r="B20" t="s">
        <v>177</v>
      </c>
      <c r="C20">
        <v>15</v>
      </c>
      <c r="D20">
        <v>40</v>
      </c>
      <c r="E20">
        <v>40</v>
      </c>
      <c r="F20">
        <v>20</v>
      </c>
      <c r="G20" t="s">
        <v>8</v>
      </c>
      <c r="H20">
        <v>66.13</v>
      </c>
      <c r="I20">
        <v>10.130000000000001</v>
      </c>
      <c r="J20">
        <v>22.78</v>
      </c>
      <c r="K20">
        <v>356.26</v>
      </c>
      <c r="L20">
        <v>19.63</v>
      </c>
      <c r="M20">
        <v>92.26</v>
      </c>
      <c r="N20">
        <v>8.84</v>
      </c>
      <c r="O20">
        <v>30.03</v>
      </c>
      <c r="P20">
        <v>21.11</v>
      </c>
      <c r="Q20">
        <v>38.33</v>
      </c>
      <c r="R20">
        <v>4.3899999999999997</v>
      </c>
      <c r="S20">
        <v>16.18</v>
      </c>
      <c r="T20">
        <v>0.61</v>
      </c>
      <c r="U20">
        <v>3.21</v>
      </c>
      <c r="V20">
        <v>3.05</v>
      </c>
      <c r="W20">
        <v>0.55000000000000004</v>
      </c>
      <c r="X20">
        <v>2.9</v>
      </c>
      <c r="Y20">
        <v>0.5</v>
      </c>
      <c r="Z20">
        <v>1.52</v>
      </c>
      <c r="AA20">
        <v>0.25</v>
      </c>
      <c r="AB20">
        <v>1.76</v>
      </c>
      <c r="AC20">
        <v>0.25</v>
      </c>
      <c r="AD20">
        <v>57.39</v>
      </c>
      <c r="AE20" t="s">
        <v>37</v>
      </c>
      <c r="AF20">
        <v>12.93</v>
      </c>
      <c r="AG20">
        <v>8.56</v>
      </c>
      <c r="AH20" t="s">
        <v>39</v>
      </c>
      <c r="AJ20">
        <f t="shared" si="0"/>
        <v>149.65</v>
      </c>
    </row>
    <row r="21" spans="1:36" x14ac:dyDescent="0.25">
      <c r="A21" t="s">
        <v>264</v>
      </c>
      <c r="B21" t="s">
        <v>178</v>
      </c>
      <c r="C21" t="s">
        <v>7</v>
      </c>
      <c r="D21">
        <v>25</v>
      </c>
      <c r="E21">
        <v>30</v>
      </c>
      <c r="F21" t="s">
        <v>37</v>
      </c>
      <c r="G21" t="s">
        <v>8</v>
      </c>
      <c r="H21">
        <v>80.150000000000006</v>
      </c>
      <c r="I21">
        <v>8.1999999999999993</v>
      </c>
      <c r="J21">
        <v>19.2</v>
      </c>
      <c r="K21">
        <v>938.26</v>
      </c>
      <c r="L21">
        <v>2.56</v>
      </c>
      <c r="M21">
        <v>64.55</v>
      </c>
      <c r="N21">
        <v>12.92</v>
      </c>
      <c r="O21">
        <v>29.66</v>
      </c>
      <c r="P21">
        <v>5.7</v>
      </c>
      <c r="Q21">
        <v>3.83</v>
      </c>
      <c r="R21">
        <v>0.86</v>
      </c>
      <c r="S21">
        <v>2.89</v>
      </c>
      <c r="T21">
        <v>0.18</v>
      </c>
      <c r="U21">
        <v>0.57999999999999996</v>
      </c>
      <c r="V21">
        <v>0.57999999999999996</v>
      </c>
      <c r="W21">
        <v>0.08</v>
      </c>
      <c r="X21">
        <v>0.45</v>
      </c>
      <c r="Y21">
        <v>7.0000000000000007E-2</v>
      </c>
      <c r="Z21">
        <v>0.22</v>
      </c>
      <c r="AA21">
        <v>0.04</v>
      </c>
      <c r="AB21">
        <v>0.23</v>
      </c>
      <c r="AC21">
        <v>0.04</v>
      </c>
      <c r="AD21">
        <v>53.81</v>
      </c>
      <c r="AE21" t="s">
        <v>37</v>
      </c>
      <c r="AF21">
        <v>4.8099999999999996</v>
      </c>
      <c r="AG21">
        <v>3.84</v>
      </c>
      <c r="AH21" t="s">
        <v>39</v>
      </c>
      <c r="AJ21">
        <f t="shared" si="0"/>
        <v>118.36</v>
      </c>
    </row>
    <row r="22" spans="1:36" x14ac:dyDescent="0.25">
      <c r="A22" t="s">
        <v>264</v>
      </c>
      <c r="B22" t="s">
        <v>179</v>
      </c>
      <c r="C22" t="s">
        <v>7</v>
      </c>
      <c r="D22">
        <v>35</v>
      </c>
      <c r="E22">
        <v>40</v>
      </c>
      <c r="F22">
        <v>15</v>
      </c>
      <c r="G22" t="s">
        <v>8</v>
      </c>
      <c r="H22">
        <v>30.08</v>
      </c>
      <c r="I22">
        <v>9.4</v>
      </c>
      <c r="J22">
        <v>22.78</v>
      </c>
      <c r="K22">
        <v>420.53</v>
      </c>
      <c r="L22">
        <v>12.41</v>
      </c>
      <c r="M22">
        <v>137.74</v>
      </c>
      <c r="N22">
        <v>5.17</v>
      </c>
      <c r="O22">
        <v>19.670000000000002</v>
      </c>
      <c r="P22">
        <v>19.8</v>
      </c>
      <c r="Q22">
        <v>32.51</v>
      </c>
      <c r="R22">
        <v>4.17</v>
      </c>
      <c r="S22">
        <v>14.41</v>
      </c>
      <c r="T22">
        <v>0.67</v>
      </c>
      <c r="U22">
        <v>2.7</v>
      </c>
      <c r="V22">
        <v>2.63</v>
      </c>
      <c r="W22">
        <v>0.42</v>
      </c>
      <c r="X22">
        <v>2.23</v>
      </c>
      <c r="Y22">
        <v>0.44</v>
      </c>
      <c r="Z22">
        <v>1.23</v>
      </c>
      <c r="AA22">
        <v>0.21</v>
      </c>
      <c r="AB22">
        <v>1.24</v>
      </c>
      <c r="AC22">
        <v>0.19</v>
      </c>
      <c r="AD22">
        <v>105.54</v>
      </c>
      <c r="AE22" t="s">
        <v>37</v>
      </c>
      <c r="AF22">
        <v>13.49</v>
      </c>
      <c r="AG22">
        <v>12.8</v>
      </c>
      <c r="AH22" t="s">
        <v>39</v>
      </c>
      <c r="AJ22">
        <f t="shared" si="0"/>
        <v>243.28000000000003</v>
      </c>
    </row>
    <row r="23" spans="1:36" x14ac:dyDescent="0.25">
      <c r="A23" t="s">
        <v>264</v>
      </c>
      <c r="B23" t="s">
        <v>180</v>
      </c>
      <c r="C23">
        <v>30</v>
      </c>
      <c r="D23">
        <v>25</v>
      </c>
      <c r="E23">
        <v>105</v>
      </c>
      <c r="F23">
        <v>55</v>
      </c>
      <c r="G23" t="s">
        <v>8</v>
      </c>
      <c r="H23">
        <v>6.77</v>
      </c>
      <c r="I23">
        <v>9.91</v>
      </c>
      <c r="J23">
        <v>31.84</v>
      </c>
      <c r="K23">
        <v>184.29</v>
      </c>
      <c r="L23">
        <v>40.58</v>
      </c>
      <c r="M23">
        <v>32.200000000000003</v>
      </c>
      <c r="N23">
        <v>19.48</v>
      </c>
      <c r="O23">
        <v>22.29</v>
      </c>
      <c r="P23">
        <v>69.22</v>
      </c>
      <c r="Q23">
        <v>178.96</v>
      </c>
      <c r="R23">
        <v>15.83</v>
      </c>
      <c r="S23">
        <v>61.26</v>
      </c>
      <c r="T23">
        <v>3.05</v>
      </c>
      <c r="U23">
        <v>10.89</v>
      </c>
      <c r="V23">
        <v>10.210000000000001</v>
      </c>
      <c r="W23">
        <v>1.58</v>
      </c>
      <c r="X23">
        <v>8.26</v>
      </c>
      <c r="Y23">
        <v>1.48</v>
      </c>
      <c r="Z23">
        <v>4.13</v>
      </c>
      <c r="AA23">
        <v>0.65</v>
      </c>
      <c r="AB23">
        <v>4</v>
      </c>
      <c r="AC23">
        <v>0.64</v>
      </c>
      <c r="AD23">
        <v>2.48</v>
      </c>
      <c r="AE23" t="s">
        <v>37</v>
      </c>
      <c r="AF23">
        <v>31.93</v>
      </c>
      <c r="AG23">
        <v>5.0199999999999996</v>
      </c>
      <c r="AH23" t="s">
        <v>39</v>
      </c>
      <c r="AJ23">
        <f t="shared" si="0"/>
        <v>34.68</v>
      </c>
    </row>
    <row r="24" spans="1:36" x14ac:dyDescent="0.25">
      <c r="A24" t="s">
        <v>264</v>
      </c>
      <c r="B24" t="s">
        <v>181</v>
      </c>
      <c r="C24">
        <v>30</v>
      </c>
      <c r="D24">
        <v>30</v>
      </c>
      <c r="E24">
        <v>115</v>
      </c>
      <c r="F24">
        <v>60</v>
      </c>
      <c r="G24" t="s">
        <v>8</v>
      </c>
      <c r="H24">
        <v>6.94</v>
      </c>
      <c r="I24">
        <v>9.49</v>
      </c>
      <c r="J24">
        <v>23.95</v>
      </c>
      <c r="K24">
        <v>172.82</v>
      </c>
      <c r="L24">
        <v>43.09</v>
      </c>
      <c r="M24">
        <v>35.01</v>
      </c>
      <c r="N24">
        <v>5.23</v>
      </c>
      <c r="O24">
        <v>21.05</v>
      </c>
      <c r="P24">
        <v>85.78</v>
      </c>
      <c r="Q24">
        <v>164.3</v>
      </c>
      <c r="R24">
        <v>18.62</v>
      </c>
      <c r="S24">
        <v>66.989999999999995</v>
      </c>
      <c r="T24">
        <v>3.01</v>
      </c>
      <c r="U24">
        <v>12.17</v>
      </c>
      <c r="V24">
        <v>10.78</v>
      </c>
      <c r="W24">
        <v>1.62</v>
      </c>
      <c r="X24">
        <v>8.81</v>
      </c>
      <c r="Y24">
        <v>1.56</v>
      </c>
      <c r="Z24">
        <v>4.5</v>
      </c>
      <c r="AA24">
        <v>0.7</v>
      </c>
      <c r="AB24">
        <v>4.18</v>
      </c>
      <c r="AC24">
        <v>0.68</v>
      </c>
      <c r="AD24">
        <v>3.18</v>
      </c>
      <c r="AE24" t="s">
        <v>37</v>
      </c>
      <c r="AF24">
        <v>29.67</v>
      </c>
      <c r="AG24">
        <v>5.6</v>
      </c>
      <c r="AH24" t="s">
        <v>39</v>
      </c>
      <c r="AJ24">
        <f t="shared" si="0"/>
        <v>38.19</v>
      </c>
    </row>
    <row r="25" spans="1:36" x14ac:dyDescent="0.25">
      <c r="A25" t="s">
        <v>264</v>
      </c>
      <c r="B25" t="s">
        <v>182</v>
      </c>
      <c r="C25" t="s">
        <v>7</v>
      </c>
      <c r="D25">
        <v>15</v>
      </c>
      <c r="E25">
        <v>40</v>
      </c>
      <c r="F25">
        <v>10</v>
      </c>
      <c r="G25" t="s">
        <v>8</v>
      </c>
      <c r="H25">
        <v>51.74</v>
      </c>
      <c r="I25">
        <v>8.5399999999999991</v>
      </c>
      <c r="J25">
        <v>22.48</v>
      </c>
      <c r="K25">
        <v>903.13</v>
      </c>
      <c r="L25">
        <v>6.58</v>
      </c>
      <c r="M25">
        <v>150.94</v>
      </c>
      <c r="N25">
        <v>51.08</v>
      </c>
      <c r="O25">
        <v>23.55</v>
      </c>
      <c r="P25">
        <v>16.079999999999998</v>
      </c>
      <c r="Q25">
        <v>19.03</v>
      </c>
      <c r="R25">
        <v>3.01</v>
      </c>
      <c r="S25">
        <v>10.11</v>
      </c>
      <c r="T25">
        <v>0.42</v>
      </c>
      <c r="U25">
        <v>1.83</v>
      </c>
      <c r="V25">
        <v>1.58</v>
      </c>
      <c r="W25">
        <v>0.23</v>
      </c>
      <c r="X25">
        <v>1.29</v>
      </c>
      <c r="Y25">
        <v>0.23</v>
      </c>
      <c r="Z25">
        <v>0.68</v>
      </c>
      <c r="AA25">
        <v>0.11</v>
      </c>
      <c r="AB25">
        <v>0.74</v>
      </c>
      <c r="AC25">
        <v>0.09</v>
      </c>
      <c r="AD25">
        <v>85.09</v>
      </c>
      <c r="AE25">
        <v>5.25</v>
      </c>
      <c r="AF25">
        <v>10.61</v>
      </c>
      <c r="AG25">
        <v>2.4900000000000002</v>
      </c>
      <c r="AH25" t="s">
        <v>39</v>
      </c>
      <c r="AJ25">
        <f t="shared" si="0"/>
        <v>236.03</v>
      </c>
    </row>
    <row r="26" spans="1:36" x14ac:dyDescent="0.25">
      <c r="A26" t="s">
        <v>264</v>
      </c>
      <c r="B26" t="s">
        <v>183</v>
      </c>
      <c r="C26">
        <v>25</v>
      </c>
      <c r="D26">
        <v>30</v>
      </c>
      <c r="E26">
        <v>110</v>
      </c>
      <c r="F26">
        <v>60</v>
      </c>
      <c r="G26" t="s">
        <v>8</v>
      </c>
      <c r="H26">
        <v>9.5500000000000007</v>
      </c>
      <c r="I26">
        <v>12.01</v>
      </c>
      <c r="J26">
        <v>24.94</v>
      </c>
      <c r="K26">
        <v>256.55</v>
      </c>
      <c r="L26">
        <v>58.81</v>
      </c>
      <c r="M26">
        <v>47.46</v>
      </c>
      <c r="N26">
        <v>17.27</v>
      </c>
      <c r="O26">
        <v>30.47</v>
      </c>
      <c r="P26">
        <v>103.92</v>
      </c>
      <c r="Q26">
        <v>223.43</v>
      </c>
      <c r="R26">
        <v>22.98</v>
      </c>
      <c r="S26">
        <v>86.34</v>
      </c>
      <c r="T26">
        <v>4.12</v>
      </c>
      <c r="U26">
        <v>15.68</v>
      </c>
      <c r="V26">
        <v>14.69</v>
      </c>
      <c r="W26">
        <v>2.19</v>
      </c>
      <c r="X26">
        <v>12.06</v>
      </c>
      <c r="Y26">
        <v>2.16</v>
      </c>
      <c r="Z26">
        <v>5.93</v>
      </c>
      <c r="AA26">
        <v>0.92</v>
      </c>
      <c r="AB26">
        <v>5.75</v>
      </c>
      <c r="AC26">
        <v>0.89</v>
      </c>
      <c r="AD26">
        <v>4.93</v>
      </c>
      <c r="AE26" t="s">
        <v>37</v>
      </c>
      <c r="AF26">
        <v>37.270000000000003</v>
      </c>
      <c r="AG26">
        <v>7.62</v>
      </c>
      <c r="AH26" t="s">
        <v>39</v>
      </c>
      <c r="AJ26">
        <f t="shared" si="0"/>
        <v>52.39</v>
      </c>
    </row>
    <row r="27" spans="1:36" x14ac:dyDescent="0.25">
      <c r="A27" t="s">
        <v>264</v>
      </c>
      <c r="B27" t="s">
        <v>184</v>
      </c>
      <c r="C27">
        <v>20</v>
      </c>
      <c r="D27">
        <v>20</v>
      </c>
      <c r="E27">
        <v>40</v>
      </c>
      <c r="F27">
        <v>40</v>
      </c>
      <c r="G27" t="s">
        <v>8</v>
      </c>
      <c r="H27">
        <v>16.39</v>
      </c>
      <c r="I27">
        <v>9.09</v>
      </c>
      <c r="J27">
        <v>23.95</v>
      </c>
      <c r="K27">
        <v>280.76</v>
      </c>
      <c r="L27">
        <v>12.64</v>
      </c>
      <c r="M27">
        <v>116.55</v>
      </c>
      <c r="N27">
        <v>13.7</v>
      </c>
      <c r="O27">
        <v>27.03</v>
      </c>
      <c r="P27">
        <v>11.9</v>
      </c>
      <c r="Q27">
        <v>26.58</v>
      </c>
      <c r="R27">
        <v>2.68</v>
      </c>
      <c r="S27">
        <v>9.41</v>
      </c>
      <c r="T27">
        <v>0.52</v>
      </c>
      <c r="U27">
        <v>2.2599999999999998</v>
      </c>
      <c r="V27">
        <v>1.98</v>
      </c>
      <c r="W27">
        <v>0.39</v>
      </c>
      <c r="X27">
        <v>2.1</v>
      </c>
      <c r="Y27">
        <v>0.41</v>
      </c>
      <c r="Z27">
        <v>1.22</v>
      </c>
      <c r="AA27">
        <v>0.22</v>
      </c>
      <c r="AB27">
        <v>1.57</v>
      </c>
      <c r="AC27">
        <v>0.21</v>
      </c>
      <c r="AD27">
        <v>45.79</v>
      </c>
      <c r="AE27">
        <v>5.67</v>
      </c>
      <c r="AF27">
        <v>10.039999999999999</v>
      </c>
      <c r="AG27">
        <v>5.88</v>
      </c>
      <c r="AH27" t="s">
        <v>39</v>
      </c>
      <c r="AJ27">
        <f t="shared" si="0"/>
        <v>162.34</v>
      </c>
    </row>
    <row r="28" spans="1:36" x14ac:dyDescent="0.25">
      <c r="A28" t="s">
        <v>264</v>
      </c>
      <c r="B28" t="s">
        <v>185</v>
      </c>
      <c r="C28">
        <v>25</v>
      </c>
      <c r="D28">
        <v>35</v>
      </c>
      <c r="E28">
        <v>155</v>
      </c>
      <c r="F28">
        <v>60</v>
      </c>
      <c r="G28" t="s">
        <v>8</v>
      </c>
      <c r="H28">
        <v>8.18</v>
      </c>
      <c r="I28">
        <v>10.1</v>
      </c>
      <c r="J28">
        <v>31.65</v>
      </c>
      <c r="K28">
        <v>276.83999999999997</v>
      </c>
      <c r="L28">
        <v>21.41</v>
      </c>
      <c r="M28">
        <v>23.04</v>
      </c>
      <c r="N28">
        <v>15.93</v>
      </c>
      <c r="O28">
        <v>48.1</v>
      </c>
      <c r="P28">
        <v>36.39</v>
      </c>
      <c r="Q28">
        <v>84.04</v>
      </c>
      <c r="R28">
        <v>8.5299999999999994</v>
      </c>
      <c r="S28">
        <v>29.15</v>
      </c>
      <c r="T28">
        <v>1.31</v>
      </c>
      <c r="U28">
        <v>5.84</v>
      </c>
      <c r="V28">
        <v>4.8</v>
      </c>
      <c r="W28">
        <v>0.74</v>
      </c>
      <c r="X28">
        <v>4.08</v>
      </c>
      <c r="Y28">
        <v>0.72</v>
      </c>
      <c r="Z28">
        <v>2.1</v>
      </c>
      <c r="AA28">
        <v>0.35</v>
      </c>
      <c r="AB28">
        <v>2.33</v>
      </c>
      <c r="AC28">
        <v>0.34</v>
      </c>
      <c r="AD28">
        <v>4.3099999999999996</v>
      </c>
      <c r="AE28">
        <v>7.13</v>
      </c>
      <c r="AF28">
        <v>19.84</v>
      </c>
      <c r="AG28">
        <v>4.9000000000000004</v>
      </c>
      <c r="AH28" t="s">
        <v>39</v>
      </c>
      <c r="AJ28">
        <f t="shared" si="0"/>
        <v>27.349999999999998</v>
      </c>
    </row>
    <row r="29" spans="1:36" x14ac:dyDescent="0.25">
      <c r="A29" t="s">
        <v>264</v>
      </c>
      <c r="B29" t="s">
        <v>186</v>
      </c>
      <c r="C29">
        <v>30</v>
      </c>
      <c r="D29">
        <v>30</v>
      </c>
      <c r="E29">
        <v>50</v>
      </c>
      <c r="F29">
        <v>60</v>
      </c>
      <c r="G29" t="s">
        <v>8</v>
      </c>
      <c r="H29">
        <v>7.54</v>
      </c>
      <c r="I29">
        <v>10.58</v>
      </c>
      <c r="J29">
        <v>28.41</v>
      </c>
      <c r="K29">
        <v>249.22</v>
      </c>
      <c r="L29">
        <v>21.14</v>
      </c>
      <c r="M29">
        <v>20.82</v>
      </c>
      <c r="N29">
        <v>18.649999999999999</v>
      </c>
      <c r="O29">
        <v>46.25</v>
      </c>
      <c r="P29">
        <v>29.87</v>
      </c>
      <c r="Q29">
        <v>83.34</v>
      </c>
      <c r="R29">
        <v>6.6</v>
      </c>
      <c r="S29">
        <v>24.33</v>
      </c>
      <c r="T29">
        <v>1.04</v>
      </c>
      <c r="U29">
        <v>4.6900000000000004</v>
      </c>
      <c r="V29">
        <v>4.51</v>
      </c>
      <c r="W29">
        <v>0.7</v>
      </c>
      <c r="X29">
        <v>3.9</v>
      </c>
      <c r="Y29">
        <v>0.69</v>
      </c>
      <c r="Z29">
        <v>2.04</v>
      </c>
      <c r="AA29">
        <v>0.34</v>
      </c>
      <c r="AB29">
        <v>2.1800000000000002</v>
      </c>
      <c r="AC29">
        <v>0.34</v>
      </c>
      <c r="AD29">
        <v>3.91</v>
      </c>
      <c r="AE29">
        <v>6.08</v>
      </c>
      <c r="AF29">
        <v>17.66</v>
      </c>
      <c r="AG29">
        <v>4.91</v>
      </c>
      <c r="AH29" t="s">
        <v>39</v>
      </c>
      <c r="AJ29">
        <f t="shared" si="0"/>
        <v>24.73</v>
      </c>
    </row>
    <row r="30" spans="1:36" x14ac:dyDescent="0.25">
      <c r="A30" t="s">
        <v>264</v>
      </c>
      <c r="B30" t="s">
        <v>187</v>
      </c>
      <c r="C30">
        <v>30</v>
      </c>
      <c r="D30">
        <v>25</v>
      </c>
      <c r="E30">
        <v>50</v>
      </c>
      <c r="F30">
        <v>55</v>
      </c>
      <c r="G30" t="s">
        <v>8</v>
      </c>
      <c r="H30">
        <v>8.4499999999999993</v>
      </c>
      <c r="I30">
        <v>12.03</v>
      </c>
      <c r="J30">
        <v>28.8</v>
      </c>
      <c r="K30">
        <v>241.13</v>
      </c>
      <c r="L30">
        <v>22.03</v>
      </c>
      <c r="M30">
        <v>33.33</v>
      </c>
      <c r="N30">
        <v>18.61</v>
      </c>
      <c r="O30">
        <v>42.91</v>
      </c>
      <c r="P30">
        <v>31.76</v>
      </c>
      <c r="Q30">
        <v>74.73</v>
      </c>
      <c r="R30">
        <v>7.58</v>
      </c>
      <c r="S30">
        <v>29.42</v>
      </c>
      <c r="T30">
        <v>1.19</v>
      </c>
      <c r="U30">
        <v>13.47</v>
      </c>
      <c r="V30">
        <v>5.17</v>
      </c>
      <c r="W30">
        <v>0.77</v>
      </c>
      <c r="X30">
        <v>4.2699999999999996</v>
      </c>
      <c r="Y30">
        <v>0.77</v>
      </c>
      <c r="Z30">
        <v>2.17</v>
      </c>
      <c r="AA30">
        <v>0.37</v>
      </c>
      <c r="AB30">
        <v>2.1800000000000002</v>
      </c>
      <c r="AC30">
        <v>0.33</v>
      </c>
      <c r="AD30">
        <v>4.4000000000000004</v>
      </c>
      <c r="AE30">
        <v>6.38</v>
      </c>
      <c r="AF30">
        <v>15.58</v>
      </c>
      <c r="AG30">
        <v>3.88</v>
      </c>
      <c r="AH30" t="s">
        <v>39</v>
      </c>
      <c r="AJ30">
        <f t="shared" si="0"/>
        <v>37.729999999999997</v>
      </c>
    </row>
    <row r="31" spans="1:36" x14ac:dyDescent="0.25">
      <c r="A31" t="s">
        <v>264</v>
      </c>
      <c r="B31" t="s">
        <v>188</v>
      </c>
      <c r="C31">
        <v>45</v>
      </c>
      <c r="D31">
        <v>20</v>
      </c>
      <c r="E31">
        <v>45</v>
      </c>
      <c r="F31">
        <v>50</v>
      </c>
      <c r="G31" t="s">
        <v>8</v>
      </c>
      <c r="H31">
        <v>8.35</v>
      </c>
      <c r="I31">
        <v>9.2799999999999994</v>
      </c>
      <c r="J31">
        <v>34.75</v>
      </c>
      <c r="K31">
        <v>132.88999999999999</v>
      </c>
      <c r="L31">
        <v>18.71</v>
      </c>
      <c r="M31">
        <v>39.270000000000003</v>
      </c>
      <c r="N31">
        <v>27.45</v>
      </c>
      <c r="O31">
        <v>39.659999999999997</v>
      </c>
      <c r="P31">
        <v>25.52</v>
      </c>
      <c r="Q31">
        <v>57.49</v>
      </c>
      <c r="R31">
        <v>5.93</v>
      </c>
      <c r="S31">
        <v>21.04</v>
      </c>
      <c r="T31">
        <v>0.92</v>
      </c>
      <c r="U31">
        <v>4.71</v>
      </c>
      <c r="V31">
        <v>4.1900000000000004</v>
      </c>
      <c r="W31">
        <v>0.68</v>
      </c>
      <c r="X31">
        <v>3.3</v>
      </c>
      <c r="Y31">
        <v>0.63</v>
      </c>
      <c r="Z31">
        <v>1.83</v>
      </c>
      <c r="AA31">
        <v>0.31</v>
      </c>
      <c r="AB31">
        <v>1.95</v>
      </c>
      <c r="AC31">
        <v>0.31</v>
      </c>
      <c r="AD31">
        <v>6.36</v>
      </c>
      <c r="AE31" t="s">
        <v>37</v>
      </c>
      <c r="AF31">
        <v>13.9</v>
      </c>
      <c r="AG31">
        <v>5.07</v>
      </c>
      <c r="AH31" t="s">
        <v>39</v>
      </c>
      <c r="AJ31">
        <f t="shared" si="0"/>
        <v>45.63</v>
      </c>
    </row>
    <row r="32" spans="1:36" x14ac:dyDescent="0.25">
      <c r="A32" t="s">
        <v>264</v>
      </c>
      <c r="B32" t="s">
        <v>189</v>
      </c>
      <c r="C32">
        <v>100</v>
      </c>
      <c r="D32">
        <v>45</v>
      </c>
      <c r="E32">
        <v>105</v>
      </c>
      <c r="F32">
        <v>370</v>
      </c>
      <c r="G32" t="s">
        <v>8</v>
      </c>
      <c r="H32">
        <v>20.72</v>
      </c>
      <c r="I32">
        <v>8.07</v>
      </c>
      <c r="J32">
        <v>22.73</v>
      </c>
      <c r="K32">
        <v>710.8</v>
      </c>
      <c r="L32">
        <v>27.19</v>
      </c>
      <c r="M32">
        <v>91.93</v>
      </c>
      <c r="N32">
        <v>10.72</v>
      </c>
      <c r="O32">
        <v>67.11</v>
      </c>
      <c r="P32">
        <v>126.36</v>
      </c>
      <c r="Q32">
        <v>256.85000000000002</v>
      </c>
      <c r="R32">
        <v>29.17</v>
      </c>
      <c r="S32">
        <v>100.98</v>
      </c>
      <c r="T32">
        <v>1.93</v>
      </c>
      <c r="U32">
        <v>18.829999999999998</v>
      </c>
      <c r="V32">
        <v>13.82</v>
      </c>
      <c r="W32">
        <v>1.66</v>
      </c>
      <c r="X32">
        <v>6.95</v>
      </c>
      <c r="Y32">
        <v>0.97</v>
      </c>
      <c r="Z32">
        <v>2.2999999999999998</v>
      </c>
      <c r="AA32">
        <v>0.33</v>
      </c>
      <c r="AB32">
        <v>2.04</v>
      </c>
      <c r="AC32">
        <v>0.28000000000000003</v>
      </c>
      <c r="AD32">
        <v>27.96</v>
      </c>
      <c r="AE32">
        <v>10.46</v>
      </c>
      <c r="AF32">
        <v>92.17</v>
      </c>
      <c r="AG32">
        <v>17.96</v>
      </c>
      <c r="AH32" t="s">
        <v>39</v>
      </c>
      <c r="AJ32">
        <f t="shared" si="0"/>
        <v>119.89000000000001</v>
      </c>
    </row>
    <row r="33" spans="1:36" x14ac:dyDescent="0.25">
      <c r="A33" t="s">
        <v>264</v>
      </c>
      <c r="B33" t="s">
        <v>190</v>
      </c>
      <c r="C33">
        <v>55</v>
      </c>
      <c r="D33">
        <v>30</v>
      </c>
      <c r="E33">
        <v>75</v>
      </c>
      <c r="F33">
        <v>260</v>
      </c>
      <c r="G33" t="s">
        <v>8</v>
      </c>
      <c r="H33">
        <v>24.17</v>
      </c>
      <c r="I33">
        <v>8.93</v>
      </c>
      <c r="J33">
        <v>26.15</v>
      </c>
      <c r="K33">
        <v>639.25</v>
      </c>
      <c r="L33">
        <v>11.52</v>
      </c>
      <c r="M33">
        <v>217.52</v>
      </c>
      <c r="N33">
        <v>8.31</v>
      </c>
      <c r="O33">
        <v>45.65</v>
      </c>
      <c r="P33">
        <v>57.58</v>
      </c>
      <c r="Q33">
        <v>111.92</v>
      </c>
      <c r="R33">
        <v>13.32</v>
      </c>
      <c r="S33">
        <v>46.76</v>
      </c>
      <c r="T33">
        <v>0.97</v>
      </c>
      <c r="U33">
        <v>8.19</v>
      </c>
      <c r="V33">
        <v>6.1</v>
      </c>
      <c r="W33">
        <v>0.72</v>
      </c>
      <c r="X33">
        <v>3.04</v>
      </c>
      <c r="Y33">
        <v>0.4</v>
      </c>
      <c r="Z33">
        <v>0.94</v>
      </c>
      <c r="AA33">
        <v>0.16</v>
      </c>
      <c r="AB33">
        <v>0.85</v>
      </c>
      <c r="AC33">
        <v>0.11</v>
      </c>
      <c r="AD33">
        <v>110.86</v>
      </c>
      <c r="AE33">
        <v>13.73</v>
      </c>
      <c r="AF33">
        <v>48.19</v>
      </c>
      <c r="AG33">
        <v>11.1</v>
      </c>
      <c r="AH33" t="s">
        <v>39</v>
      </c>
      <c r="AJ33">
        <f t="shared" si="0"/>
        <v>328.38</v>
      </c>
    </row>
    <row r="34" spans="1:36" x14ac:dyDescent="0.25">
      <c r="A34" t="s">
        <v>264</v>
      </c>
      <c r="B34" t="s">
        <v>191</v>
      </c>
      <c r="C34">
        <v>35</v>
      </c>
      <c r="D34">
        <v>25</v>
      </c>
      <c r="E34">
        <v>75</v>
      </c>
      <c r="F34">
        <v>160</v>
      </c>
      <c r="G34" t="s">
        <v>8</v>
      </c>
      <c r="H34">
        <v>39.93</v>
      </c>
      <c r="I34">
        <v>8.48</v>
      </c>
      <c r="J34">
        <v>20.58</v>
      </c>
      <c r="K34">
        <v>853.73</v>
      </c>
      <c r="L34">
        <v>5.34</v>
      </c>
      <c r="M34">
        <v>277.77999999999997</v>
      </c>
      <c r="N34">
        <v>23.32</v>
      </c>
      <c r="O34">
        <v>28.33</v>
      </c>
      <c r="P34">
        <v>11.98</v>
      </c>
      <c r="Q34">
        <v>23.19</v>
      </c>
      <c r="R34">
        <v>2.57</v>
      </c>
      <c r="S34">
        <v>8.7799999999999994</v>
      </c>
      <c r="T34">
        <v>0.24</v>
      </c>
      <c r="U34">
        <v>1.68</v>
      </c>
      <c r="V34">
        <v>1.25</v>
      </c>
      <c r="W34">
        <v>0.2</v>
      </c>
      <c r="X34">
        <v>0.94</v>
      </c>
      <c r="Y34">
        <v>0.14000000000000001</v>
      </c>
      <c r="Z34">
        <v>0.39</v>
      </c>
      <c r="AA34">
        <v>0.08</v>
      </c>
      <c r="AB34">
        <v>0.43</v>
      </c>
      <c r="AC34">
        <v>7.0000000000000007E-2</v>
      </c>
      <c r="AD34">
        <v>88.88</v>
      </c>
      <c r="AE34">
        <v>15.4</v>
      </c>
      <c r="AF34">
        <v>13.12</v>
      </c>
      <c r="AG34">
        <v>8.34</v>
      </c>
      <c r="AH34" t="s">
        <v>39</v>
      </c>
      <c r="AJ34">
        <f t="shared" si="0"/>
        <v>366.65999999999997</v>
      </c>
    </row>
    <row r="35" spans="1:36" x14ac:dyDescent="0.25">
      <c r="A35" t="s">
        <v>264</v>
      </c>
      <c r="B35" t="s">
        <v>192</v>
      </c>
      <c r="C35">
        <v>65</v>
      </c>
      <c r="D35">
        <v>50</v>
      </c>
      <c r="E35">
        <v>85</v>
      </c>
      <c r="F35">
        <v>350</v>
      </c>
      <c r="G35" t="s">
        <v>8</v>
      </c>
      <c r="H35">
        <v>18.37</v>
      </c>
      <c r="I35">
        <v>7.73</v>
      </c>
      <c r="J35">
        <v>42.37</v>
      </c>
      <c r="K35">
        <v>559.47</v>
      </c>
      <c r="L35">
        <v>31.15</v>
      </c>
      <c r="M35">
        <v>42.51</v>
      </c>
      <c r="N35">
        <v>5.57</v>
      </c>
      <c r="O35">
        <v>57.44</v>
      </c>
      <c r="P35">
        <v>160.66</v>
      </c>
      <c r="Q35">
        <v>323.07</v>
      </c>
      <c r="R35">
        <v>37.049999999999997</v>
      </c>
      <c r="S35">
        <v>128.19999999999999</v>
      </c>
      <c r="T35">
        <v>1.97</v>
      </c>
      <c r="U35">
        <v>23.76</v>
      </c>
      <c r="V35">
        <v>16.7</v>
      </c>
      <c r="W35">
        <v>2.08</v>
      </c>
      <c r="X35">
        <v>7.87</v>
      </c>
      <c r="Y35">
        <v>1</v>
      </c>
      <c r="Z35">
        <v>2.64</v>
      </c>
      <c r="AA35">
        <v>0.34</v>
      </c>
      <c r="AB35">
        <v>1.9</v>
      </c>
      <c r="AC35">
        <v>0.27</v>
      </c>
      <c r="AD35">
        <v>8.74</v>
      </c>
      <c r="AE35">
        <v>7.53</v>
      </c>
      <c r="AF35">
        <v>122.29</v>
      </c>
      <c r="AG35">
        <v>14.99</v>
      </c>
      <c r="AH35" t="s">
        <v>39</v>
      </c>
      <c r="AJ35">
        <f t="shared" si="0"/>
        <v>51.25</v>
      </c>
    </row>
    <row r="36" spans="1:36" x14ac:dyDescent="0.25">
      <c r="A36" t="s">
        <v>264</v>
      </c>
      <c r="B36" t="s">
        <v>193</v>
      </c>
      <c r="C36">
        <v>120</v>
      </c>
      <c r="D36">
        <v>50</v>
      </c>
      <c r="E36">
        <v>90</v>
      </c>
      <c r="F36">
        <v>310</v>
      </c>
      <c r="G36" t="s">
        <v>8</v>
      </c>
      <c r="H36">
        <v>15.25</v>
      </c>
      <c r="I36">
        <v>7.63</v>
      </c>
      <c r="J36">
        <v>17.850000000000001</v>
      </c>
      <c r="K36">
        <v>556.44000000000005</v>
      </c>
      <c r="L36">
        <v>34.74</v>
      </c>
      <c r="M36">
        <v>31.62</v>
      </c>
      <c r="N36">
        <v>18.170000000000002</v>
      </c>
      <c r="O36">
        <v>49.45</v>
      </c>
      <c r="P36">
        <v>161.47</v>
      </c>
      <c r="Q36">
        <v>333.67</v>
      </c>
      <c r="R36">
        <v>38.43</v>
      </c>
      <c r="S36">
        <v>135.11000000000001</v>
      </c>
      <c r="T36">
        <v>2.0699999999999998</v>
      </c>
      <c r="U36">
        <v>24.55</v>
      </c>
      <c r="V36">
        <v>17.45</v>
      </c>
      <c r="W36">
        <v>2.21</v>
      </c>
      <c r="X36">
        <v>8.4499999999999993</v>
      </c>
      <c r="Y36">
        <v>1.18</v>
      </c>
      <c r="Z36">
        <v>2.93</v>
      </c>
      <c r="AA36">
        <v>0.37</v>
      </c>
      <c r="AB36">
        <v>2.15</v>
      </c>
      <c r="AC36">
        <v>0.3</v>
      </c>
      <c r="AD36">
        <v>5.66</v>
      </c>
      <c r="AE36">
        <v>5.27</v>
      </c>
      <c r="AF36">
        <v>125.36</v>
      </c>
      <c r="AG36">
        <v>14.76</v>
      </c>
      <c r="AH36" t="s">
        <v>39</v>
      </c>
      <c r="AJ36">
        <f t="shared" si="0"/>
        <v>37.28</v>
      </c>
    </row>
    <row r="37" spans="1:36" x14ac:dyDescent="0.25">
      <c r="A37" t="s">
        <v>264</v>
      </c>
      <c r="B37" t="s">
        <v>194</v>
      </c>
      <c r="C37">
        <v>40</v>
      </c>
      <c r="D37">
        <v>45</v>
      </c>
      <c r="E37">
        <v>60</v>
      </c>
      <c r="F37">
        <v>240</v>
      </c>
      <c r="G37" t="s">
        <v>8</v>
      </c>
      <c r="H37">
        <v>11.9</v>
      </c>
      <c r="I37">
        <v>9.99</v>
      </c>
      <c r="J37">
        <v>24.95</v>
      </c>
      <c r="K37">
        <v>458.19</v>
      </c>
      <c r="L37">
        <v>36.4</v>
      </c>
      <c r="M37">
        <v>42.04</v>
      </c>
      <c r="N37">
        <v>26.96</v>
      </c>
      <c r="O37">
        <v>95.32</v>
      </c>
      <c r="P37">
        <v>45.83</v>
      </c>
      <c r="Q37">
        <v>94.68</v>
      </c>
      <c r="R37">
        <v>10.55</v>
      </c>
      <c r="S37">
        <v>38.14</v>
      </c>
      <c r="T37">
        <v>1.17</v>
      </c>
      <c r="U37">
        <v>8.25</v>
      </c>
      <c r="V37">
        <v>7.7</v>
      </c>
      <c r="W37">
        <v>1.33</v>
      </c>
      <c r="X37">
        <v>7.13</v>
      </c>
      <c r="Y37">
        <v>1.21</v>
      </c>
      <c r="Z37">
        <v>3.18</v>
      </c>
      <c r="AA37">
        <v>0.53</v>
      </c>
      <c r="AB37">
        <v>3.15</v>
      </c>
      <c r="AC37">
        <v>0.43</v>
      </c>
      <c r="AD37">
        <v>10.48</v>
      </c>
      <c r="AE37">
        <v>5.87</v>
      </c>
      <c r="AF37">
        <v>31.85</v>
      </c>
      <c r="AG37">
        <v>9.8800000000000008</v>
      </c>
      <c r="AH37" t="s">
        <v>39</v>
      </c>
      <c r="AJ37">
        <f t="shared" si="0"/>
        <v>52.519999999999996</v>
      </c>
    </row>
    <row r="38" spans="1:36" x14ac:dyDescent="0.25">
      <c r="A38" t="s">
        <v>264</v>
      </c>
      <c r="B38" t="s">
        <v>229</v>
      </c>
      <c r="C38" t="s">
        <v>7</v>
      </c>
      <c r="D38">
        <v>45</v>
      </c>
      <c r="E38">
        <v>55</v>
      </c>
      <c r="F38">
        <v>500</v>
      </c>
      <c r="G38" t="s">
        <v>8</v>
      </c>
      <c r="H38">
        <v>22.16</v>
      </c>
      <c r="I38">
        <v>9.1</v>
      </c>
      <c r="J38">
        <v>21.07</v>
      </c>
      <c r="K38">
        <v>661.38</v>
      </c>
      <c r="L38">
        <v>24.46</v>
      </c>
      <c r="M38">
        <v>42.99</v>
      </c>
      <c r="N38">
        <v>11.62</v>
      </c>
      <c r="O38">
        <v>227.97</v>
      </c>
      <c r="P38">
        <v>28.2</v>
      </c>
      <c r="Q38">
        <v>57.19</v>
      </c>
      <c r="R38">
        <v>6.22</v>
      </c>
      <c r="S38">
        <v>22.5</v>
      </c>
      <c r="T38">
        <v>0.51</v>
      </c>
      <c r="U38">
        <v>5.34</v>
      </c>
      <c r="V38">
        <v>5.42</v>
      </c>
      <c r="W38">
        <v>0.94</v>
      </c>
      <c r="X38">
        <v>5.0599999999999996</v>
      </c>
      <c r="Y38">
        <v>0.74</v>
      </c>
      <c r="Z38">
        <v>1.96</v>
      </c>
      <c r="AA38">
        <v>0.28000000000000003</v>
      </c>
      <c r="AB38">
        <v>1.78</v>
      </c>
      <c r="AC38">
        <v>0.24</v>
      </c>
      <c r="AD38">
        <v>10.99</v>
      </c>
      <c r="AE38">
        <v>6.64</v>
      </c>
      <c r="AF38">
        <v>27.71</v>
      </c>
      <c r="AG38">
        <v>10.88</v>
      </c>
      <c r="AH38" t="s">
        <v>39</v>
      </c>
      <c r="AJ38">
        <f t="shared" si="0"/>
        <v>53.980000000000004</v>
      </c>
    </row>
    <row r="39" spans="1:36" x14ac:dyDescent="0.25">
      <c r="A39" t="s">
        <v>264</v>
      </c>
      <c r="B39" t="s">
        <v>230</v>
      </c>
      <c r="C39">
        <v>50</v>
      </c>
      <c r="D39">
        <v>40</v>
      </c>
      <c r="E39">
        <v>225</v>
      </c>
      <c r="F39">
        <v>250</v>
      </c>
      <c r="G39" t="s">
        <v>8</v>
      </c>
      <c r="H39">
        <v>11.2</v>
      </c>
      <c r="I39">
        <v>9.11</v>
      </c>
      <c r="J39">
        <v>39.28</v>
      </c>
      <c r="K39">
        <v>448.81</v>
      </c>
      <c r="L39">
        <v>33.869999999999997</v>
      </c>
      <c r="M39">
        <v>41.97</v>
      </c>
      <c r="N39">
        <v>9.6999999999999993</v>
      </c>
      <c r="O39">
        <v>98.44</v>
      </c>
      <c r="P39">
        <v>44.89</v>
      </c>
      <c r="Q39">
        <v>94.76</v>
      </c>
      <c r="R39">
        <v>10.54</v>
      </c>
      <c r="S39">
        <v>37.86</v>
      </c>
      <c r="T39">
        <v>1.2</v>
      </c>
      <c r="U39">
        <v>7.77</v>
      </c>
      <c r="V39">
        <v>7.81</v>
      </c>
      <c r="W39">
        <v>1.3</v>
      </c>
      <c r="X39">
        <v>6.77</v>
      </c>
      <c r="Y39">
        <v>1.1299999999999999</v>
      </c>
      <c r="Z39">
        <v>2.97</v>
      </c>
      <c r="AA39">
        <v>0.5</v>
      </c>
      <c r="AB39">
        <v>2.7</v>
      </c>
      <c r="AC39">
        <v>0.45</v>
      </c>
      <c r="AD39">
        <v>20.91</v>
      </c>
      <c r="AE39">
        <v>5.09</v>
      </c>
      <c r="AF39">
        <v>28.15</v>
      </c>
      <c r="AG39">
        <v>8.91</v>
      </c>
      <c r="AH39" t="s">
        <v>39</v>
      </c>
      <c r="AJ39">
        <f t="shared" si="0"/>
        <v>62.879999999999995</v>
      </c>
    </row>
    <row r="40" spans="1:36" x14ac:dyDescent="0.25">
      <c r="A40" t="s">
        <v>264</v>
      </c>
      <c r="B40" t="s">
        <v>231</v>
      </c>
      <c r="C40" t="s">
        <v>7</v>
      </c>
      <c r="D40">
        <v>50</v>
      </c>
      <c r="E40">
        <v>45</v>
      </c>
      <c r="F40">
        <v>170</v>
      </c>
      <c r="G40" t="s">
        <v>8</v>
      </c>
      <c r="H40">
        <v>14.75</v>
      </c>
      <c r="I40">
        <v>8.15</v>
      </c>
      <c r="J40">
        <v>28.3</v>
      </c>
      <c r="K40">
        <v>420.94</v>
      </c>
      <c r="L40">
        <v>26.23</v>
      </c>
      <c r="M40">
        <v>26.38</v>
      </c>
      <c r="N40">
        <v>6.01</v>
      </c>
      <c r="O40">
        <v>42.38</v>
      </c>
      <c r="P40">
        <v>25.97</v>
      </c>
      <c r="Q40">
        <v>51.67</v>
      </c>
      <c r="R40">
        <v>5.93</v>
      </c>
      <c r="S40">
        <v>20.27</v>
      </c>
      <c r="T40">
        <v>0.61</v>
      </c>
      <c r="U40">
        <v>5.01</v>
      </c>
      <c r="V40">
        <v>4.83</v>
      </c>
      <c r="W40">
        <v>0.8</v>
      </c>
      <c r="X40">
        <v>4.82</v>
      </c>
      <c r="Y40">
        <v>0.8</v>
      </c>
      <c r="Z40">
        <v>1.98</v>
      </c>
      <c r="AA40">
        <v>0.32</v>
      </c>
      <c r="AB40">
        <v>1.71</v>
      </c>
      <c r="AC40">
        <v>0.25</v>
      </c>
      <c r="AD40">
        <v>4.45</v>
      </c>
      <c r="AE40" t="s">
        <v>37</v>
      </c>
      <c r="AF40">
        <v>20.81</v>
      </c>
      <c r="AG40">
        <v>11.56</v>
      </c>
      <c r="AH40" t="s">
        <v>39</v>
      </c>
      <c r="AJ40">
        <f t="shared" si="0"/>
        <v>30.83</v>
      </c>
    </row>
    <row r="41" spans="1:36" x14ac:dyDescent="0.25">
      <c r="A41" t="s">
        <v>264</v>
      </c>
      <c r="B41" t="s">
        <v>232</v>
      </c>
      <c r="C41" t="s">
        <v>7</v>
      </c>
      <c r="D41">
        <v>50</v>
      </c>
      <c r="E41">
        <v>35</v>
      </c>
      <c r="F41">
        <v>140</v>
      </c>
      <c r="G41" t="s">
        <v>8</v>
      </c>
      <c r="H41">
        <v>16.600000000000001</v>
      </c>
      <c r="I41">
        <v>8.5299999999999994</v>
      </c>
      <c r="J41">
        <v>21.17</v>
      </c>
      <c r="K41">
        <v>425.26</v>
      </c>
      <c r="L41">
        <v>28.17</v>
      </c>
      <c r="M41">
        <v>27.53</v>
      </c>
      <c r="N41">
        <v>14.07</v>
      </c>
      <c r="O41">
        <v>50.88</v>
      </c>
      <c r="P41">
        <v>30.05</v>
      </c>
      <c r="Q41">
        <v>72.650000000000006</v>
      </c>
      <c r="R41">
        <v>7.03</v>
      </c>
      <c r="S41">
        <v>24.49</v>
      </c>
      <c r="T41">
        <v>0.7</v>
      </c>
      <c r="U41">
        <v>5.48</v>
      </c>
      <c r="V41">
        <v>5.3</v>
      </c>
      <c r="W41">
        <v>0.98</v>
      </c>
      <c r="X41">
        <v>5.5</v>
      </c>
      <c r="Y41">
        <v>0.82</v>
      </c>
      <c r="Z41">
        <v>2.39</v>
      </c>
      <c r="AA41">
        <v>0.34</v>
      </c>
      <c r="AB41">
        <v>1.96</v>
      </c>
      <c r="AC41">
        <v>0.26</v>
      </c>
      <c r="AD41">
        <v>4.79</v>
      </c>
      <c r="AE41" t="s">
        <v>37</v>
      </c>
      <c r="AF41">
        <v>24.88</v>
      </c>
      <c r="AG41">
        <v>13.09</v>
      </c>
      <c r="AH41" t="s">
        <v>39</v>
      </c>
      <c r="AJ41">
        <f t="shared" si="0"/>
        <v>32.32</v>
      </c>
    </row>
    <row r="42" spans="1:36" x14ac:dyDescent="0.25">
      <c r="A42" t="s">
        <v>264</v>
      </c>
      <c r="B42" t="s">
        <v>233</v>
      </c>
      <c r="C42">
        <v>30</v>
      </c>
      <c r="D42">
        <v>40</v>
      </c>
      <c r="E42">
        <v>115</v>
      </c>
      <c r="F42">
        <v>65</v>
      </c>
      <c r="G42" t="s">
        <v>8</v>
      </c>
      <c r="H42">
        <v>13.98</v>
      </c>
      <c r="I42">
        <v>9.64</v>
      </c>
      <c r="J42">
        <v>34.18</v>
      </c>
      <c r="K42">
        <v>403.74</v>
      </c>
      <c r="L42">
        <v>24.72</v>
      </c>
      <c r="M42">
        <v>28.2</v>
      </c>
      <c r="N42">
        <v>7.03</v>
      </c>
      <c r="O42">
        <v>67.349999999999994</v>
      </c>
      <c r="P42">
        <v>32.94</v>
      </c>
      <c r="Q42">
        <v>67.739999999999995</v>
      </c>
      <c r="R42">
        <v>7.5</v>
      </c>
      <c r="S42">
        <v>26.74</v>
      </c>
      <c r="T42">
        <v>0.63</v>
      </c>
      <c r="U42">
        <v>6.33</v>
      </c>
      <c r="V42">
        <v>5.69</v>
      </c>
      <c r="W42">
        <v>0.99</v>
      </c>
      <c r="X42">
        <v>5.14</v>
      </c>
      <c r="Y42">
        <v>0.81</v>
      </c>
      <c r="Z42">
        <v>2.08</v>
      </c>
      <c r="AA42">
        <v>0.27</v>
      </c>
      <c r="AB42">
        <v>1.69</v>
      </c>
      <c r="AC42">
        <v>0.25</v>
      </c>
      <c r="AD42">
        <v>6.19</v>
      </c>
      <c r="AE42" t="s">
        <v>37</v>
      </c>
      <c r="AF42">
        <v>27.59</v>
      </c>
      <c r="AG42">
        <v>12.11</v>
      </c>
      <c r="AH42" t="s">
        <v>39</v>
      </c>
      <c r="AJ42">
        <f t="shared" si="0"/>
        <v>34.39</v>
      </c>
    </row>
    <row r="43" spans="1:36" x14ac:dyDescent="0.25">
      <c r="A43" t="s">
        <v>264</v>
      </c>
      <c r="B43" t="s">
        <v>234</v>
      </c>
      <c r="C43">
        <v>30</v>
      </c>
      <c r="D43">
        <v>15</v>
      </c>
      <c r="E43">
        <v>80</v>
      </c>
      <c r="F43">
        <v>220</v>
      </c>
      <c r="G43" t="s">
        <v>8</v>
      </c>
      <c r="H43">
        <v>3.67</v>
      </c>
      <c r="I43">
        <v>11.64</v>
      </c>
      <c r="J43">
        <v>31.27</v>
      </c>
      <c r="K43">
        <v>90.56</v>
      </c>
      <c r="L43">
        <v>31.16</v>
      </c>
      <c r="M43">
        <v>16.48</v>
      </c>
      <c r="N43">
        <v>4.57</v>
      </c>
      <c r="O43">
        <v>16.52</v>
      </c>
      <c r="P43">
        <v>50.27</v>
      </c>
      <c r="Q43">
        <v>82.19</v>
      </c>
      <c r="R43">
        <v>9.8000000000000007</v>
      </c>
      <c r="S43">
        <v>37.31</v>
      </c>
      <c r="T43">
        <v>2.16</v>
      </c>
      <c r="U43">
        <v>7.18</v>
      </c>
      <c r="V43">
        <v>6.53</v>
      </c>
      <c r="W43">
        <v>1.02</v>
      </c>
      <c r="X43">
        <v>5.95</v>
      </c>
      <c r="Y43">
        <v>1.1399999999999999</v>
      </c>
      <c r="Z43">
        <v>3.29</v>
      </c>
      <c r="AA43">
        <v>0.53</v>
      </c>
      <c r="AB43">
        <v>3.72</v>
      </c>
      <c r="AC43">
        <v>0.56999999999999995</v>
      </c>
      <c r="AD43">
        <v>1.6</v>
      </c>
      <c r="AE43" t="s">
        <v>37</v>
      </c>
      <c r="AF43">
        <v>20.02</v>
      </c>
      <c r="AG43">
        <v>2.2200000000000002</v>
      </c>
      <c r="AH43" t="s">
        <v>39</v>
      </c>
      <c r="AJ43">
        <f t="shared" si="0"/>
        <v>18.080000000000002</v>
      </c>
    </row>
    <row r="44" spans="1:36" x14ac:dyDescent="0.25">
      <c r="A44" t="s">
        <v>264</v>
      </c>
      <c r="B44" t="s">
        <v>235</v>
      </c>
      <c r="C44">
        <v>100</v>
      </c>
      <c r="D44">
        <v>25</v>
      </c>
      <c r="E44">
        <v>35</v>
      </c>
      <c r="F44">
        <v>40</v>
      </c>
      <c r="G44" t="s">
        <v>8</v>
      </c>
      <c r="H44">
        <v>8.84</v>
      </c>
      <c r="I44">
        <v>11.31</v>
      </c>
      <c r="J44">
        <v>33.19</v>
      </c>
      <c r="K44">
        <v>139.22</v>
      </c>
      <c r="L44">
        <v>34.590000000000003</v>
      </c>
      <c r="M44">
        <v>20.170000000000002</v>
      </c>
      <c r="N44">
        <v>4.46</v>
      </c>
      <c r="O44">
        <v>39.03</v>
      </c>
      <c r="P44">
        <v>41.76</v>
      </c>
      <c r="Q44">
        <v>96.65</v>
      </c>
      <c r="R44">
        <v>9.7200000000000006</v>
      </c>
      <c r="S44">
        <v>35.630000000000003</v>
      </c>
      <c r="T44">
        <v>1.1299999999999999</v>
      </c>
      <c r="U44">
        <v>7.57</v>
      </c>
      <c r="V44">
        <v>6.8</v>
      </c>
      <c r="W44">
        <v>1.06</v>
      </c>
      <c r="X44">
        <v>6.48</v>
      </c>
      <c r="Y44">
        <v>1.31</v>
      </c>
      <c r="Z44">
        <v>3.77</v>
      </c>
      <c r="AA44">
        <v>0.6</v>
      </c>
      <c r="AB44">
        <v>3.89</v>
      </c>
      <c r="AC44">
        <v>0.61</v>
      </c>
      <c r="AD44">
        <v>1.28</v>
      </c>
      <c r="AE44" t="s">
        <v>37</v>
      </c>
      <c r="AF44">
        <v>64.42</v>
      </c>
      <c r="AG44">
        <v>7.35</v>
      </c>
      <c r="AH44" t="s">
        <v>39</v>
      </c>
      <c r="AJ44">
        <f t="shared" si="0"/>
        <v>21.450000000000003</v>
      </c>
    </row>
    <row r="45" spans="1:36" x14ac:dyDescent="0.25">
      <c r="A45" t="s">
        <v>264</v>
      </c>
      <c r="B45" t="s">
        <v>236</v>
      </c>
      <c r="C45">
        <v>110</v>
      </c>
      <c r="D45">
        <v>20</v>
      </c>
      <c r="E45">
        <v>35</v>
      </c>
      <c r="F45">
        <v>45</v>
      </c>
      <c r="G45" t="s">
        <v>8</v>
      </c>
      <c r="H45">
        <v>5.23</v>
      </c>
      <c r="I45">
        <v>11.04</v>
      </c>
      <c r="J45">
        <v>19.93</v>
      </c>
      <c r="K45">
        <v>129.13</v>
      </c>
      <c r="L45">
        <v>29.61</v>
      </c>
      <c r="M45">
        <v>11.68</v>
      </c>
      <c r="N45">
        <v>4.6900000000000004</v>
      </c>
      <c r="O45">
        <v>27.18</v>
      </c>
      <c r="P45">
        <v>26.64</v>
      </c>
      <c r="Q45">
        <v>59.04</v>
      </c>
      <c r="R45">
        <v>6.07</v>
      </c>
      <c r="S45">
        <v>23.03</v>
      </c>
      <c r="T45">
        <v>0.87</v>
      </c>
      <c r="U45">
        <v>5.22</v>
      </c>
      <c r="V45">
        <v>5.0599999999999996</v>
      </c>
      <c r="W45">
        <v>0.84</v>
      </c>
      <c r="X45">
        <v>4.9800000000000004</v>
      </c>
      <c r="Y45">
        <v>1.01</v>
      </c>
      <c r="Z45">
        <v>3.06</v>
      </c>
      <c r="AA45">
        <v>0.49</v>
      </c>
      <c r="AB45">
        <v>3.33</v>
      </c>
      <c r="AC45">
        <v>0.51</v>
      </c>
      <c r="AD45">
        <v>1.01</v>
      </c>
      <c r="AE45" t="s">
        <v>37</v>
      </c>
      <c r="AF45">
        <v>61.47</v>
      </c>
      <c r="AG45">
        <v>6.35</v>
      </c>
      <c r="AH45" t="s">
        <v>39</v>
      </c>
      <c r="AJ45">
        <f t="shared" si="0"/>
        <v>12.69</v>
      </c>
    </row>
    <row r="46" spans="1:36" x14ac:dyDescent="0.25">
      <c r="A46" t="s">
        <v>264</v>
      </c>
      <c r="B46" t="s">
        <v>237</v>
      </c>
      <c r="C46">
        <v>50</v>
      </c>
      <c r="D46">
        <v>30</v>
      </c>
      <c r="E46">
        <v>65</v>
      </c>
      <c r="F46">
        <v>40</v>
      </c>
      <c r="G46" t="s">
        <v>8</v>
      </c>
      <c r="H46">
        <v>3.79</v>
      </c>
      <c r="I46">
        <v>10.67</v>
      </c>
      <c r="J46">
        <v>26.64</v>
      </c>
      <c r="K46">
        <v>133.75</v>
      </c>
      <c r="L46">
        <v>39.15</v>
      </c>
      <c r="M46">
        <v>19.04</v>
      </c>
      <c r="N46">
        <v>4.91</v>
      </c>
      <c r="O46">
        <v>21.07</v>
      </c>
      <c r="P46">
        <v>71.55</v>
      </c>
      <c r="Q46">
        <v>172.8</v>
      </c>
      <c r="R46">
        <v>15.05</v>
      </c>
      <c r="S46">
        <v>53.88</v>
      </c>
      <c r="T46">
        <v>1.45</v>
      </c>
      <c r="U46">
        <v>9.59</v>
      </c>
      <c r="V46">
        <v>7.84</v>
      </c>
      <c r="W46">
        <v>1.26</v>
      </c>
      <c r="X46">
        <v>7</v>
      </c>
      <c r="Y46">
        <v>1.41</v>
      </c>
      <c r="Z46">
        <v>4.1399999999999997</v>
      </c>
      <c r="AA46">
        <v>0.66</v>
      </c>
      <c r="AB46">
        <v>4.49</v>
      </c>
      <c r="AC46">
        <v>0.71</v>
      </c>
      <c r="AD46">
        <v>1.73</v>
      </c>
      <c r="AE46" t="s">
        <v>37</v>
      </c>
      <c r="AF46">
        <v>56.81</v>
      </c>
      <c r="AG46">
        <v>3.96</v>
      </c>
      <c r="AH46" t="s">
        <v>39</v>
      </c>
      <c r="AJ46">
        <f t="shared" si="0"/>
        <v>20.77</v>
      </c>
    </row>
    <row r="47" spans="1:36" x14ac:dyDescent="0.25">
      <c r="A47" t="s">
        <v>264</v>
      </c>
      <c r="B47" t="s">
        <v>238</v>
      </c>
      <c r="C47">
        <v>50</v>
      </c>
      <c r="D47">
        <v>35</v>
      </c>
      <c r="E47">
        <v>90</v>
      </c>
      <c r="F47">
        <v>230</v>
      </c>
      <c r="G47" t="s">
        <v>8</v>
      </c>
      <c r="H47">
        <v>21.76</v>
      </c>
      <c r="I47">
        <v>9.02</v>
      </c>
      <c r="J47">
        <v>36.92</v>
      </c>
      <c r="K47">
        <v>1086.4100000000001</v>
      </c>
      <c r="L47">
        <v>11.37</v>
      </c>
      <c r="M47">
        <v>65.819999999999993</v>
      </c>
      <c r="N47">
        <v>13.02</v>
      </c>
      <c r="O47">
        <v>61.8</v>
      </c>
      <c r="P47">
        <v>34.19</v>
      </c>
      <c r="Q47">
        <v>66.62</v>
      </c>
      <c r="R47">
        <v>7.59</v>
      </c>
      <c r="S47">
        <v>29.26</v>
      </c>
      <c r="T47">
        <v>0.63</v>
      </c>
      <c r="U47">
        <v>4.8600000000000003</v>
      </c>
      <c r="V47">
        <v>3.92</v>
      </c>
      <c r="W47">
        <v>0.56000000000000005</v>
      </c>
      <c r="X47">
        <v>2.2599999999999998</v>
      </c>
      <c r="Y47">
        <v>0.42</v>
      </c>
      <c r="Z47">
        <v>1.19</v>
      </c>
      <c r="AA47">
        <v>0.15</v>
      </c>
      <c r="AB47">
        <v>1</v>
      </c>
      <c r="AC47">
        <v>0.16</v>
      </c>
      <c r="AD47">
        <v>17.53</v>
      </c>
      <c r="AE47">
        <v>6.22</v>
      </c>
      <c r="AF47">
        <v>24</v>
      </c>
      <c r="AG47">
        <v>11.51</v>
      </c>
      <c r="AH47" t="s">
        <v>39</v>
      </c>
      <c r="AJ47">
        <f t="shared" si="0"/>
        <v>83.35</v>
      </c>
    </row>
    <row r="48" spans="1:36" x14ac:dyDescent="0.25">
      <c r="A48" t="s">
        <v>264</v>
      </c>
      <c r="B48" t="s">
        <v>239</v>
      </c>
      <c r="C48">
        <v>45</v>
      </c>
      <c r="D48">
        <v>45</v>
      </c>
      <c r="E48">
        <v>70</v>
      </c>
      <c r="F48">
        <v>260</v>
      </c>
      <c r="G48" t="s">
        <v>8</v>
      </c>
      <c r="H48">
        <v>9.8800000000000008</v>
      </c>
      <c r="I48">
        <v>9.25</v>
      </c>
      <c r="J48">
        <v>33.68</v>
      </c>
      <c r="K48">
        <v>670.1</v>
      </c>
      <c r="L48">
        <v>18.45</v>
      </c>
      <c r="M48">
        <v>39.78</v>
      </c>
      <c r="N48">
        <v>8.06</v>
      </c>
      <c r="O48">
        <v>79.37</v>
      </c>
      <c r="P48">
        <v>66.540000000000006</v>
      </c>
      <c r="Q48">
        <v>135.82</v>
      </c>
      <c r="R48">
        <v>15.67</v>
      </c>
      <c r="S48">
        <v>55.73</v>
      </c>
      <c r="T48">
        <v>1.21</v>
      </c>
      <c r="U48">
        <v>10.4</v>
      </c>
      <c r="V48">
        <v>7.05</v>
      </c>
      <c r="W48">
        <v>0.95</v>
      </c>
      <c r="X48">
        <v>4.1100000000000003</v>
      </c>
      <c r="Y48">
        <v>0.68</v>
      </c>
      <c r="Z48">
        <v>1.85</v>
      </c>
      <c r="AA48">
        <v>0.26</v>
      </c>
      <c r="AB48">
        <v>1.73</v>
      </c>
      <c r="AC48">
        <v>0.24</v>
      </c>
      <c r="AD48">
        <v>28.09</v>
      </c>
      <c r="AE48" t="s">
        <v>37</v>
      </c>
      <c r="AF48">
        <v>51.17</v>
      </c>
      <c r="AG48">
        <v>19.170000000000002</v>
      </c>
      <c r="AH48" t="s">
        <v>39</v>
      </c>
      <c r="AJ48">
        <f t="shared" si="0"/>
        <v>67.87</v>
      </c>
    </row>
    <row r="49" spans="1:36" x14ac:dyDescent="0.25">
      <c r="A49" t="s">
        <v>264</v>
      </c>
      <c r="B49" t="s">
        <v>240</v>
      </c>
      <c r="C49">
        <v>50</v>
      </c>
      <c r="D49">
        <v>35</v>
      </c>
      <c r="E49">
        <v>80</v>
      </c>
      <c r="F49">
        <v>250</v>
      </c>
      <c r="G49" t="s">
        <v>8</v>
      </c>
      <c r="H49">
        <v>16.649999999999999</v>
      </c>
      <c r="I49">
        <v>8.7899999999999991</v>
      </c>
      <c r="J49">
        <v>36.880000000000003</v>
      </c>
      <c r="K49">
        <v>1010.67</v>
      </c>
      <c r="L49">
        <v>12.96</v>
      </c>
      <c r="M49">
        <v>70.61</v>
      </c>
      <c r="N49">
        <v>9.4600000000000009</v>
      </c>
      <c r="O49">
        <v>67.58</v>
      </c>
      <c r="P49">
        <v>38.229999999999997</v>
      </c>
      <c r="Q49">
        <v>76.44</v>
      </c>
      <c r="R49">
        <v>8.98</v>
      </c>
      <c r="S49">
        <v>32.68</v>
      </c>
      <c r="T49">
        <v>0.79</v>
      </c>
      <c r="U49">
        <v>5.87</v>
      </c>
      <c r="V49">
        <v>4.9000000000000004</v>
      </c>
      <c r="W49">
        <v>0.64</v>
      </c>
      <c r="X49">
        <v>2.83</v>
      </c>
      <c r="Y49">
        <v>0.48</v>
      </c>
      <c r="Z49">
        <v>1.38</v>
      </c>
      <c r="AA49">
        <v>0.19</v>
      </c>
      <c r="AB49">
        <v>1.31</v>
      </c>
      <c r="AC49">
        <v>0.21</v>
      </c>
      <c r="AD49">
        <v>34.049999999999997</v>
      </c>
      <c r="AE49">
        <v>5.59</v>
      </c>
      <c r="AF49">
        <v>30.83</v>
      </c>
      <c r="AG49">
        <v>14.23</v>
      </c>
      <c r="AH49" t="s">
        <v>39</v>
      </c>
      <c r="AJ49">
        <f t="shared" si="0"/>
        <v>104.66</v>
      </c>
    </row>
    <row r="50" spans="1:36" x14ac:dyDescent="0.25">
      <c r="A50" t="s">
        <v>264</v>
      </c>
      <c r="B50" t="s">
        <v>241</v>
      </c>
      <c r="C50">
        <v>70</v>
      </c>
      <c r="D50">
        <v>55</v>
      </c>
      <c r="E50">
        <v>80</v>
      </c>
      <c r="F50">
        <v>290</v>
      </c>
      <c r="G50" t="s">
        <v>8</v>
      </c>
      <c r="H50">
        <v>4.96</v>
      </c>
      <c r="I50">
        <v>9.3000000000000007</v>
      </c>
      <c r="J50">
        <v>36.92</v>
      </c>
      <c r="K50">
        <v>515.30999999999995</v>
      </c>
      <c r="L50">
        <v>21.57</v>
      </c>
      <c r="M50">
        <v>39.200000000000003</v>
      </c>
      <c r="N50">
        <v>7.74</v>
      </c>
      <c r="O50">
        <v>57.44</v>
      </c>
      <c r="P50">
        <v>73.87</v>
      </c>
      <c r="Q50">
        <v>146.29</v>
      </c>
      <c r="R50">
        <v>17.12</v>
      </c>
      <c r="S50">
        <v>62</v>
      </c>
      <c r="T50">
        <v>1.37</v>
      </c>
      <c r="U50">
        <v>11.41</v>
      </c>
      <c r="V50">
        <v>8.26</v>
      </c>
      <c r="W50">
        <v>1.07</v>
      </c>
      <c r="X50">
        <v>4.8099999999999996</v>
      </c>
      <c r="Y50">
        <v>0.76</v>
      </c>
      <c r="Z50">
        <v>2.19</v>
      </c>
      <c r="AA50">
        <v>0.33</v>
      </c>
      <c r="AB50">
        <v>2.0299999999999998</v>
      </c>
      <c r="AC50">
        <v>0.31</v>
      </c>
      <c r="AD50">
        <v>13.58</v>
      </c>
      <c r="AE50" t="s">
        <v>37</v>
      </c>
      <c r="AF50">
        <v>54.69</v>
      </c>
      <c r="AG50">
        <v>19.170000000000002</v>
      </c>
      <c r="AH50" t="s">
        <v>39</v>
      </c>
      <c r="AJ50">
        <f t="shared" si="0"/>
        <v>52.78</v>
      </c>
    </row>
    <row r="51" spans="1:36" x14ac:dyDescent="0.25">
      <c r="A51" t="s">
        <v>264</v>
      </c>
      <c r="B51" t="s">
        <v>242</v>
      </c>
      <c r="C51">
        <v>40</v>
      </c>
      <c r="D51">
        <v>75</v>
      </c>
      <c r="E51">
        <v>75</v>
      </c>
      <c r="F51">
        <v>90</v>
      </c>
      <c r="G51" t="s">
        <v>8</v>
      </c>
      <c r="H51">
        <v>9.82</v>
      </c>
      <c r="I51">
        <v>9.64</v>
      </c>
      <c r="J51">
        <v>24.17</v>
      </c>
      <c r="K51">
        <v>411.8</v>
      </c>
      <c r="L51">
        <v>56.6</v>
      </c>
      <c r="M51">
        <v>39.159999999999997</v>
      </c>
      <c r="N51">
        <v>14.69</v>
      </c>
      <c r="O51">
        <v>44.68</v>
      </c>
      <c r="P51">
        <v>136.53</v>
      </c>
      <c r="Q51">
        <v>378.45</v>
      </c>
      <c r="R51">
        <v>27.38</v>
      </c>
      <c r="S51">
        <v>94.28</v>
      </c>
      <c r="T51">
        <v>1.54</v>
      </c>
      <c r="U51">
        <v>16.62</v>
      </c>
      <c r="V51">
        <v>13.58</v>
      </c>
      <c r="W51">
        <v>1.91</v>
      </c>
      <c r="X51">
        <v>10.54</v>
      </c>
      <c r="Y51">
        <v>2.0299999999999998</v>
      </c>
      <c r="Z51">
        <v>5.6</v>
      </c>
      <c r="AA51">
        <v>0.91</v>
      </c>
      <c r="AB51">
        <v>5.97</v>
      </c>
      <c r="AC51">
        <v>0.91</v>
      </c>
      <c r="AD51">
        <v>6.78</v>
      </c>
      <c r="AE51" t="s">
        <v>37</v>
      </c>
      <c r="AF51">
        <v>124.85</v>
      </c>
      <c r="AG51">
        <v>11.31</v>
      </c>
      <c r="AH51" t="s">
        <v>39</v>
      </c>
      <c r="AJ51">
        <f t="shared" si="0"/>
        <v>45.94</v>
      </c>
    </row>
    <row r="52" spans="1:36" x14ac:dyDescent="0.25">
      <c r="A52" t="s">
        <v>264</v>
      </c>
      <c r="B52" t="s">
        <v>243</v>
      </c>
      <c r="C52">
        <v>30</v>
      </c>
      <c r="D52">
        <v>60</v>
      </c>
      <c r="E52">
        <v>60</v>
      </c>
      <c r="F52">
        <v>70</v>
      </c>
      <c r="G52" t="s">
        <v>8</v>
      </c>
      <c r="H52">
        <v>9.1199999999999992</v>
      </c>
      <c r="I52">
        <v>10.199999999999999</v>
      </c>
      <c r="J52">
        <v>36.33</v>
      </c>
      <c r="K52">
        <v>459.28</v>
      </c>
      <c r="L52">
        <v>34.64</v>
      </c>
      <c r="M52">
        <v>26.69</v>
      </c>
      <c r="N52">
        <v>14.55</v>
      </c>
      <c r="O52">
        <v>41.65</v>
      </c>
      <c r="P52">
        <v>97.74</v>
      </c>
      <c r="Q52">
        <v>231.14</v>
      </c>
      <c r="R52">
        <v>18.77</v>
      </c>
      <c r="S52">
        <v>64.900000000000006</v>
      </c>
      <c r="T52">
        <v>0.99</v>
      </c>
      <c r="U52">
        <v>10.63</v>
      </c>
      <c r="V52">
        <v>8.61</v>
      </c>
      <c r="W52">
        <v>1.23</v>
      </c>
      <c r="X52">
        <v>6.47</v>
      </c>
      <c r="Y52">
        <v>1.23</v>
      </c>
      <c r="Z52">
        <v>3.6</v>
      </c>
      <c r="AA52">
        <v>0.54</v>
      </c>
      <c r="AB52">
        <v>3.48</v>
      </c>
      <c r="AC52">
        <v>0.56000000000000005</v>
      </c>
      <c r="AD52">
        <v>6.28</v>
      </c>
      <c r="AE52" t="s">
        <v>37</v>
      </c>
      <c r="AF52">
        <v>71.02</v>
      </c>
      <c r="AG52">
        <v>7.06</v>
      </c>
      <c r="AH52" t="s">
        <v>39</v>
      </c>
      <c r="AJ52">
        <f t="shared" si="0"/>
        <v>32.97</v>
      </c>
    </row>
  </sheetData>
  <conditionalFormatting sqref="AJ3:AJ52">
    <cfRule type="cellIs" dxfId="2" priority="1" operator="greaterThan">
      <formula>100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2"/>
  <sheetViews>
    <sheetView topLeftCell="G1" workbookViewId="0">
      <selection activeCell="AI2" sqref="AI2:AI52"/>
    </sheetView>
  </sheetViews>
  <sheetFormatPr defaultRowHeight="15" x14ac:dyDescent="0.25"/>
  <cols>
    <col min="1" max="1" width="16.28515625" customWidth="1"/>
    <col min="2" max="7" width="15.42578125" customWidth="1"/>
    <col min="8" max="8" width="10.7109375" customWidth="1"/>
  </cols>
  <sheetData>
    <row r="1" spans="1:35" x14ac:dyDescent="0.25">
      <c r="A1" t="s">
        <v>261</v>
      </c>
      <c r="B1" s="3" t="s">
        <v>95</v>
      </c>
      <c r="C1" s="3" t="s">
        <v>79</v>
      </c>
      <c r="D1" s="3" t="s">
        <v>80</v>
      </c>
      <c r="E1" s="3" t="s">
        <v>81</v>
      </c>
      <c r="F1" s="3" t="s">
        <v>78</v>
      </c>
      <c r="G1" s="3" t="s">
        <v>85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86</v>
      </c>
    </row>
    <row r="2" spans="1:35" x14ac:dyDescent="0.25">
      <c r="C2" t="s">
        <v>35</v>
      </c>
      <c r="D2" t="s">
        <v>35</v>
      </c>
      <c r="E2" t="s">
        <v>35</v>
      </c>
      <c r="F2" t="s">
        <v>35</v>
      </c>
      <c r="G2" t="s">
        <v>35</v>
      </c>
      <c r="H2" s="4" t="s">
        <v>35</v>
      </c>
      <c r="I2" s="1" t="s">
        <v>35</v>
      </c>
      <c r="J2" t="s">
        <v>35</v>
      </c>
      <c r="K2" t="s">
        <v>35</v>
      </c>
      <c r="L2" s="6" t="s">
        <v>35</v>
      </c>
      <c r="M2" s="6" t="s">
        <v>35</v>
      </c>
      <c r="N2" s="6" t="s">
        <v>35</v>
      </c>
      <c r="O2" s="6" t="s">
        <v>35</v>
      </c>
      <c r="P2" s="6" t="s">
        <v>35</v>
      </c>
      <c r="Q2" s="6" t="s">
        <v>35</v>
      </c>
      <c r="R2" s="6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  <c r="AE2" t="s">
        <v>35</v>
      </c>
      <c r="AF2" t="s">
        <v>35</v>
      </c>
      <c r="AG2" t="s">
        <v>35</v>
      </c>
      <c r="AH2" t="s">
        <v>129</v>
      </c>
      <c r="AI2">
        <f>AD3+M3</f>
        <v>101.33</v>
      </c>
    </row>
    <row r="3" spans="1:35" x14ac:dyDescent="0.25">
      <c r="A3" t="s">
        <v>275</v>
      </c>
      <c r="B3" s="1" t="s">
        <v>89</v>
      </c>
      <c r="C3" t="s">
        <v>7</v>
      </c>
      <c r="D3">
        <v>15</v>
      </c>
      <c r="E3">
        <v>80</v>
      </c>
      <c r="F3">
        <v>45</v>
      </c>
      <c r="G3" t="s">
        <v>8</v>
      </c>
      <c r="H3">
        <v>6.13</v>
      </c>
      <c r="I3">
        <v>8</v>
      </c>
      <c r="J3" t="s">
        <v>8</v>
      </c>
      <c r="K3">
        <v>881.46</v>
      </c>
      <c r="L3" s="6">
        <v>3.18</v>
      </c>
      <c r="M3" s="6">
        <v>73.11</v>
      </c>
      <c r="N3" s="6">
        <v>5.52</v>
      </c>
      <c r="O3" s="6">
        <v>21.27</v>
      </c>
      <c r="P3" s="6">
        <v>1.55</v>
      </c>
      <c r="Q3" s="6">
        <v>3.13</v>
      </c>
      <c r="R3" s="6">
        <v>0.35</v>
      </c>
      <c r="S3">
        <v>1.0900000000000001</v>
      </c>
      <c r="T3">
        <v>0.05</v>
      </c>
      <c r="U3">
        <v>0.37</v>
      </c>
      <c r="V3">
        <v>0.33</v>
      </c>
      <c r="W3">
        <v>0.08</v>
      </c>
      <c r="X3">
        <v>0.5</v>
      </c>
      <c r="Y3">
        <v>0.08</v>
      </c>
      <c r="Z3">
        <v>0.22</v>
      </c>
      <c r="AA3">
        <v>0.04</v>
      </c>
      <c r="AB3">
        <v>0.3</v>
      </c>
      <c r="AC3">
        <v>0.04</v>
      </c>
      <c r="AD3">
        <v>28.22</v>
      </c>
      <c r="AE3">
        <v>5.65</v>
      </c>
      <c r="AF3">
        <v>2.4900000000000002</v>
      </c>
      <c r="AG3">
        <v>4.55</v>
      </c>
      <c r="AH3" t="s">
        <v>39</v>
      </c>
      <c r="AI3">
        <f t="shared" ref="AI3:AI52" si="0">AD4+M4</f>
        <v>13.88</v>
      </c>
    </row>
    <row r="4" spans="1:35" x14ac:dyDescent="0.25">
      <c r="A4" t="s">
        <v>275</v>
      </c>
      <c r="B4" s="1" t="s">
        <v>90</v>
      </c>
      <c r="C4">
        <v>20</v>
      </c>
      <c r="D4">
        <v>10</v>
      </c>
      <c r="E4">
        <v>40</v>
      </c>
      <c r="F4">
        <v>210</v>
      </c>
      <c r="G4" t="s">
        <v>8</v>
      </c>
      <c r="H4">
        <v>11.75</v>
      </c>
      <c r="I4">
        <v>9.3000000000000007</v>
      </c>
      <c r="J4" t="s">
        <v>8</v>
      </c>
      <c r="K4">
        <v>298.47000000000003</v>
      </c>
      <c r="L4" s="6">
        <v>17.899999999999999</v>
      </c>
      <c r="M4" s="6">
        <v>12.13</v>
      </c>
      <c r="N4" s="6" t="s">
        <v>37</v>
      </c>
      <c r="O4" s="6">
        <v>55.55</v>
      </c>
      <c r="P4" s="6">
        <v>38.479999999999997</v>
      </c>
      <c r="Q4" s="6">
        <v>66.39</v>
      </c>
      <c r="R4" s="6">
        <v>7.31</v>
      </c>
      <c r="S4">
        <v>24.43</v>
      </c>
      <c r="T4">
        <v>1.1000000000000001</v>
      </c>
      <c r="U4">
        <v>4.43</v>
      </c>
      <c r="V4">
        <v>3.83</v>
      </c>
      <c r="W4">
        <v>0.6</v>
      </c>
      <c r="X4">
        <v>3.36</v>
      </c>
      <c r="Y4">
        <v>0.67</v>
      </c>
      <c r="Z4">
        <v>2.02</v>
      </c>
      <c r="AA4">
        <v>0.28999999999999998</v>
      </c>
      <c r="AB4">
        <v>1.76</v>
      </c>
      <c r="AC4">
        <v>0.27</v>
      </c>
      <c r="AD4">
        <v>1.75</v>
      </c>
      <c r="AE4" t="s">
        <v>37</v>
      </c>
      <c r="AF4">
        <v>15.15</v>
      </c>
      <c r="AG4">
        <v>1.79</v>
      </c>
      <c r="AH4" t="s">
        <v>39</v>
      </c>
      <c r="AI4">
        <f t="shared" si="0"/>
        <v>84.86</v>
      </c>
    </row>
    <row r="5" spans="1:35" x14ac:dyDescent="0.25">
      <c r="A5" t="s">
        <v>275</v>
      </c>
      <c r="B5" s="1" t="s">
        <v>91</v>
      </c>
      <c r="C5">
        <v>100</v>
      </c>
      <c r="D5">
        <v>25</v>
      </c>
      <c r="E5">
        <v>30</v>
      </c>
      <c r="F5">
        <v>50</v>
      </c>
      <c r="G5" t="s">
        <v>8</v>
      </c>
      <c r="H5">
        <v>47.02</v>
      </c>
      <c r="I5">
        <v>8.25</v>
      </c>
      <c r="J5" t="s">
        <v>8</v>
      </c>
      <c r="K5">
        <v>314.64</v>
      </c>
      <c r="L5" s="6">
        <v>8.35</v>
      </c>
      <c r="M5" s="6">
        <v>47.89</v>
      </c>
      <c r="N5" s="6" t="s">
        <v>37</v>
      </c>
      <c r="O5" s="6">
        <v>27.65</v>
      </c>
      <c r="P5" s="6">
        <v>3.58</v>
      </c>
      <c r="Q5" s="6">
        <v>6.86</v>
      </c>
      <c r="R5" s="6">
        <v>0.74</v>
      </c>
      <c r="S5">
        <v>2.19</v>
      </c>
      <c r="T5">
        <v>7.0000000000000007E-2</v>
      </c>
      <c r="U5">
        <v>0.72</v>
      </c>
      <c r="V5">
        <v>0.73</v>
      </c>
      <c r="W5">
        <v>0.22</v>
      </c>
      <c r="X5">
        <v>1.42</v>
      </c>
      <c r="Y5">
        <v>0.25</v>
      </c>
      <c r="Z5">
        <v>0.74</v>
      </c>
      <c r="AA5">
        <v>0.14000000000000001</v>
      </c>
      <c r="AB5">
        <v>0.99</v>
      </c>
      <c r="AC5">
        <v>0.13</v>
      </c>
      <c r="AD5">
        <v>36.97</v>
      </c>
      <c r="AE5">
        <v>6.52</v>
      </c>
      <c r="AF5">
        <v>5.29</v>
      </c>
      <c r="AG5">
        <v>17.63</v>
      </c>
      <c r="AI5">
        <f t="shared" si="0"/>
        <v>29.94</v>
      </c>
    </row>
    <row r="6" spans="1:35" x14ac:dyDescent="0.25">
      <c r="A6" t="s">
        <v>275</v>
      </c>
      <c r="B6" s="1" t="s">
        <v>92</v>
      </c>
      <c r="C6">
        <v>10</v>
      </c>
      <c r="D6">
        <v>50</v>
      </c>
      <c r="E6">
        <v>55</v>
      </c>
      <c r="F6">
        <v>110</v>
      </c>
      <c r="G6" t="s">
        <v>8</v>
      </c>
      <c r="H6">
        <v>5.3</v>
      </c>
      <c r="I6">
        <v>8.5399999999999991</v>
      </c>
      <c r="J6" t="s">
        <v>8</v>
      </c>
      <c r="K6">
        <v>447.88</v>
      </c>
      <c r="L6" s="6">
        <v>13.34</v>
      </c>
      <c r="M6" s="6">
        <v>26.21</v>
      </c>
      <c r="N6" s="6" t="s">
        <v>37</v>
      </c>
      <c r="O6" s="6">
        <v>42.61</v>
      </c>
      <c r="P6" s="6">
        <v>31.59</v>
      </c>
      <c r="Q6" s="6">
        <v>62.36</v>
      </c>
      <c r="R6" s="6">
        <v>7.33</v>
      </c>
      <c r="S6">
        <v>25.53</v>
      </c>
      <c r="T6">
        <v>0.57999999999999996</v>
      </c>
      <c r="U6">
        <v>5.42</v>
      </c>
      <c r="V6">
        <v>4.28</v>
      </c>
      <c r="W6">
        <v>0.68</v>
      </c>
      <c r="X6">
        <v>3.09</v>
      </c>
      <c r="Y6">
        <v>0.47</v>
      </c>
      <c r="Z6">
        <v>1.24</v>
      </c>
      <c r="AA6">
        <v>0.16</v>
      </c>
      <c r="AB6">
        <v>1.01</v>
      </c>
      <c r="AC6">
        <v>0.13</v>
      </c>
      <c r="AD6">
        <v>3.73</v>
      </c>
      <c r="AE6" t="s">
        <v>37</v>
      </c>
      <c r="AF6">
        <v>27.4</v>
      </c>
      <c r="AG6">
        <v>15.4</v>
      </c>
      <c r="AI6">
        <f t="shared" si="0"/>
        <v>89.18</v>
      </c>
    </row>
    <row r="7" spans="1:35" x14ac:dyDescent="0.25">
      <c r="A7" t="s">
        <v>275</v>
      </c>
      <c r="B7" s="1" t="s">
        <v>93</v>
      </c>
      <c r="C7">
        <v>10</v>
      </c>
      <c r="D7">
        <v>15</v>
      </c>
      <c r="E7">
        <v>35</v>
      </c>
      <c r="F7">
        <v>45</v>
      </c>
      <c r="G7" t="s">
        <v>8</v>
      </c>
      <c r="H7">
        <v>54.71</v>
      </c>
      <c r="I7">
        <v>8.56</v>
      </c>
      <c r="J7" t="s">
        <v>8</v>
      </c>
      <c r="K7">
        <v>434.11</v>
      </c>
      <c r="L7" s="6">
        <v>6.46</v>
      </c>
      <c r="M7" s="6">
        <v>48.03</v>
      </c>
      <c r="N7" s="6" t="s">
        <v>37</v>
      </c>
      <c r="O7" s="6">
        <v>32.5</v>
      </c>
      <c r="P7" s="6">
        <v>5.88</v>
      </c>
      <c r="Q7" s="6">
        <v>11.26</v>
      </c>
      <c r="R7" s="6">
        <v>1.29</v>
      </c>
      <c r="S7">
        <v>4.4000000000000004</v>
      </c>
      <c r="T7">
        <v>0.08</v>
      </c>
      <c r="U7">
        <v>1</v>
      </c>
      <c r="V7">
        <v>0.9</v>
      </c>
      <c r="W7">
        <v>0.18</v>
      </c>
      <c r="X7">
        <v>1.08</v>
      </c>
      <c r="Y7">
        <v>0.19</v>
      </c>
      <c r="Z7">
        <v>0.56999999999999995</v>
      </c>
      <c r="AA7">
        <v>0.11</v>
      </c>
      <c r="AB7">
        <v>0.87</v>
      </c>
      <c r="AC7">
        <v>0.13</v>
      </c>
      <c r="AD7">
        <v>41.15</v>
      </c>
      <c r="AE7">
        <v>6.13</v>
      </c>
      <c r="AF7">
        <v>7.58</v>
      </c>
      <c r="AG7">
        <v>55.05</v>
      </c>
      <c r="AI7">
        <f t="shared" si="0"/>
        <v>23.709999999999997</v>
      </c>
    </row>
    <row r="8" spans="1:35" x14ac:dyDescent="0.25">
      <c r="A8" t="s">
        <v>275</v>
      </c>
      <c r="B8" s="1" t="s">
        <v>94</v>
      </c>
      <c r="C8">
        <v>10</v>
      </c>
      <c r="D8">
        <v>55</v>
      </c>
      <c r="E8">
        <v>60</v>
      </c>
      <c r="F8">
        <v>140</v>
      </c>
      <c r="G8" t="s">
        <v>8</v>
      </c>
      <c r="H8">
        <v>9.81</v>
      </c>
      <c r="I8">
        <v>8.6199999999999992</v>
      </c>
      <c r="J8" t="s">
        <v>8</v>
      </c>
      <c r="K8">
        <v>439.29</v>
      </c>
      <c r="L8" s="6">
        <v>17.899999999999999</v>
      </c>
      <c r="M8" s="6">
        <v>19.809999999999999</v>
      </c>
      <c r="N8" s="6" t="s">
        <v>37</v>
      </c>
      <c r="O8" s="6">
        <v>81.569999999999993</v>
      </c>
      <c r="P8" s="6">
        <v>37.590000000000003</v>
      </c>
      <c r="Q8" s="6">
        <v>74.099999999999994</v>
      </c>
      <c r="R8" s="6">
        <v>8.81</v>
      </c>
      <c r="S8">
        <v>30.43</v>
      </c>
      <c r="T8">
        <v>0.76</v>
      </c>
      <c r="U8">
        <v>6.61</v>
      </c>
      <c r="V8">
        <v>5.26</v>
      </c>
      <c r="W8">
        <v>0.87</v>
      </c>
      <c r="X8">
        <v>4.13</v>
      </c>
      <c r="Y8">
        <v>0.64</v>
      </c>
      <c r="Z8">
        <v>1.67</v>
      </c>
      <c r="AA8">
        <v>0.23</v>
      </c>
      <c r="AB8">
        <v>1.29</v>
      </c>
      <c r="AC8">
        <v>0.19</v>
      </c>
      <c r="AD8">
        <v>3.9</v>
      </c>
      <c r="AE8">
        <v>5.29</v>
      </c>
      <c r="AF8">
        <v>31.65</v>
      </c>
      <c r="AG8">
        <v>147.66</v>
      </c>
      <c r="AI8">
        <f t="shared" si="0"/>
        <v>47.150000000000006</v>
      </c>
    </row>
    <row r="9" spans="1:35" x14ac:dyDescent="0.25">
      <c r="A9" t="s">
        <v>265</v>
      </c>
      <c r="B9" t="s">
        <v>150</v>
      </c>
      <c r="C9">
        <v>15</v>
      </c>
      <c r="D9">
        <v>55</v>
      </c>
      <c r="E9">
        <v>60</v>
      </c>
      <c r="F9">
        <v>610</v>
      </c>
      <c r="G9">
        <v>2</v>
      </c>
      <c r="H9">
        <v>14.65</v>
      </c>
      <c r="I9">
        <v>8.94</v>
      </c>
      <c r="J9">
        <v>3.05</v>
      </c>
      <c r="K9">
        <v>412.67</v>
      </c>
      <c r="L9">
        <v>23.46</v>
      </c>
      <c r="M9">
        <v>38.590000000000003</v>
      </c>
      <c r="N9">
        <v>12.08</v>
      </c>
      <c r="O9">
        <v>65.400000000000006</v>
      </c>
      <c r="P9">
        <v>30.77</v>
      </c>
      <c r="Q9">
        <v>61.54</v>
      </c>
      <c r="R9">
        <v>7.23</v>
      </c>
      <c r="S9">
        <v>25.66</v>
      </c>
      <c r="T9">
        <v>0.57999999999999996</v>
      </c>
      <c r="U9">
        <v>5.76</v>
      </c>
      <c r="V9">
        <v>5.51</v>
      </c>
      <c r="W9">
        <v>0.99</v>
      </c>
      <c r="X9">
        <v>5.05</v>
      </c>
      <c r="Y9">
        <v>0.78</v>
      </c>
      <c r="Z9">
        <v>1.92</v>
      </c>
      <c r="AA9">
        <v>0.26</v>
      </c>
      <c r="AB9">
        <v>1.4</v>
      </c>
      <c r="AC9">
        <v>0.18</v>
      </c>
      <c r="AD9">
        <v>8.56</v>
      </c>
      <c r="AE9">
        <v>12.62</v>
      </c>
      <c r="AF9">
        <v>26.81</v>
      </c>
      <c r="AG9">
        <v>12.69</v>
      </c>
      <c r="AI9">
        <f t="shared" si="0"/>
        <v>280.87</v>
      </c>
    </row>
    <row r="10" spans="1:35" x14ac:dyDescent="0.25">
      <c r="A10" t="s">
        <v>265</v>
      </c>
      <c r="B10" t="s">
        <v>151</v>
      </c>
      <c r="C10">
        <v>10</v>
      </c>
      <c r="D10">
        <v>30</v>
      </c>
      <c r="E10">
        <v>40</v>
      </c>
      <c r="F10">
        <v>50</v>
      </c>
      <c r="G10" t="s">
        <v>8</v>
      </c>
      <c r="H10">
        <v>64.42</v>
      </c>
      <c r="I10">
        <v>10.18</v>
      </c>
      <c r="J10">
        <v>2.2799999999999998</v>
      </c>
      <c r="K10">
        <v>731.36</v>
      </c>
      <c r="L10">
        <v>0.97</v>
      </c>
      <c r="M10">
        <v>104.07</v>
      </c>
      <c r="N10">
        <v>10.94</v>
      </c>
      <c r="O10">
        <v>83.86</v>
      </c>
      <c r="P10" t="s">
        <v>108</v>
      </c>
      <c r="Q10" t="s">
        <v>8</v>
      </c>
      <c r="R10">
        <v>0.14000000000000001</v>
      </c>
      <c r="S10">
        <v>0.61</v>
      </c>
      <c r="T10">
        <v>0.02</v>
      </c>
      <c r="U10">
        <v>0.11</v>
      </c>
      <c r="V10">
        <v>0.14000000000000001</v>
      </c>
      <c r="W10" t="s">
        <v>148</v>
      </c>
      <c r="X10">
        <v>0.14000000000000001</v>
      </c>
      <c r="Y10">
        <v>0.02</v>
      </c>
      <c r="Z10">
        <v>0.06</v>
      </c>
      <c r="AA10" t="s">
        <v>148</v>
      </c>
      <c r="AB10">
        <v>7.0000000000000007E-2</v>
      </c>
      <c r="AC10" t="s">
        <v>148</v>
      </c>
      <c r="AD10">
        <v>176.8</v>
      </c>
      <c r="AE10">
        <v>8.14</v>
      </c>
      <c r="AF10">
        <v>5.19</v>
      </c>
      <c r="AG10">
        <v>4.75</v>
      </c>
      <c r="AI10">
        <f t="shared" si="0"/>
        <v>47.809999999999995</v>
      </c>
    </row>
    <row r="11" spans="1:35" x14ac:dyDescent="0.25">
      <c r="A11" t="s">
        <v>265</v>
      </c>
      <c r="B11" t="s">
        <v>152</v>
      </c>
      <c r="C11">
        <v>15</v>
      </c>
      <c r="D11">
        <v>35</v>
      </c>
      <c r="E11">
        <v>60</v>
      </c>
      <c r="F11">
        <v>640</v>
      </c>
      <c r="G11" t="s">
        <v>8</v>
      </c>
      <c r="H11">
        <v>19.07</v>
      </c>
      <c r="I11">
        <v>10.1</v>
      </c>
      <c r="J11">
        <v>2.39</v>
      </c>
      <c r="K11">
        <v>776.11</v>
      </c>
      <c r="L11">
        <v>19.11</v>
      </c>
      <c r="M11">
        <v>38.94</v>
      </c>
      <c r="N11">
        <v>14.68</v>
      </c>
      <c r="O11">
        <v>197.66</v>
      </c>
      <c r="P11">
        <v>24.65</v>
      </c>
      <c r="Q11">
        <v>48.69</v>
      </c>
      <c r="R11">
        <v>5.63</v>
      </c>
      <c r="S11">
        <v>19.21</v>
      </c>
      <c r="T11">
        <v>0.4</v>
      </c>
      <c r="U11">
        <v>4.3600000000000003</v>
      </c>
      <c r="V11">
        <v>4.1100000000000003</v>
      </c>
      <c r="W11">
        <v>0.76</v>
      </c>
      <c r="X11">
        <v>3.97</v>
      </c>
      <c r="Y11">
        <v>0.64</v>
      </c>
      <c r="Z11">
        <v>1.58</v>
      </c>
      <c r="AA11">
        <v>0.21</v>
      </c>
      <c r="AB11">
        <v>1.23</v>
      </c>
      <c r="AC11">
        <v>0.15</v>
      </c>
      <c r="AD11">
        <v>8.8699999999999992</v>
      </c>
      <c r="AE11">
        <v>12.98</v>
      </c>
      <c r="AF11">
        <v>22.47</v>
      </c>
      <c r="AG11">
        <v>6.62</v>
      </c>
      <c r="AI11">
        <f t="shared" si="0"/>
        <v>25.94</v>
      </c>
    </row>
    <row r="12" spans="1:35" x14ac:dyDescent="0.25">
      <c r="A12" t="s">
        <v>265</v>
      </c>
      <c r="B12" t="s">
        <v>153</v>
      </c>
      <c r="C12">
        <v>15</v>
      </c>
      <c r="D12">
        <v>35</v>
      </c>
      <c r="E12">
        <v>70</v>
      </c>
      <c r="F12">
        <v>810</v>
      </c>
      <c r="G12" t="s">
        <v>8</v>
      </c>
      <c r="H12">
        <v>5.55</v>
      </c>
      <c r="I12">
        <v>10.01</v>
      </c>
      <c r="J12">
        <v>2</v>
      </c>
      <c r="K12">
        <v>408.79</v>
      </c>
      <c r="L12">
        <v>9.73</v>
      </c>
      <c r="M12">
        <v>22.91</v>
      </c>
      <c r="N12">
        <v>10.89</v>
      </c>
      <c r="O12">
        <v>20.309999999999999</v>
      </c>
      <c r="P12">
        <v>48.44</v>
      </c>
      <c r="Q12">
        <v>97.12</v>
      </c>
      <c r="R12">
        <v>11.07</v>
      </c>
      <c r="S12">
        <v>38.72</v>
      </c>
      <c r="T12">
        <v>0.99</v>
      </c>
      <c r="U12">
        <v>7.79</v>
      </c>
      <c r="V12">
        <v>6.12</v>
      </c>
      <c r="W12">
        <v>0.77</v>
      </c>
      <c r="X12">
        <v>2.93</v>
      </c>
      <c r="Y12">
        <v>0.36</v>
      </c>
      <c r="Z12">
        <v>0.74</v>
      </c>
      <c r="AA12">
        <v>0.06</v>
      </c>
      <c r="AB12">
        <v>0.39</v>
      </c>
      <c r="AC12">
        <v>0.04</v>
      </c>
      <c r="AD12">
        <v>3.03</v>
      </c>
      <c r="AE12">
        <v>8.83</v>
      </c>
      <c r="AF12">
        <v>34.83</v>
      </c>
      <c r="AG12">
        <v>4.8899999999999997</v>
      </c>
      <c r="AI12">
        <f t="shared" si="0"/>
        <v>22.040000000000003</v>
      </c>
    </row>
    <row r="13" spans="1:35" x14ac:dyDescent="0.25">
      <c r="A13" t="s">
        <v>265</v>
      </c>
      <c r="B13" t="s">
        <v>154</v>
      </c>
      <c r="C13">
        <v>10</v>
      </c>
      <c r="D13">
        <v>50</v>
      </c>
      <c r="E13">
        <v>60</v>
      </c>
      <c r="F13">
        <v>150</v>
      </c>
      <c r="G13" t="s">
        <v>8</v>
      </c>
      <c r="H13">
        <v>7.57</v>
      </c>
      <c r="I13">
        <v>10.029999999999999</v>
      </c>
      <c r="J13">
        <v>2.71</v>
      </c>
      <c r="K13">
        <v>362.37</v>
      </c>
      <c r="L13">
        <v>8.06</v>
      </c>
      <c r="M13">
        <v>19.420000000000002</v>
      </c>
      <c r="N13">
        <v>13.35</v>
      </c>
      <c r="O13">
        <v>23.61</v>
      </c>
      <c r="P13">
        <v>32.15</v>
      </c>
      <c r="Q13">
        <v>63.94</v>
      </c>
      <c r="R13">
        <v>7.28</v>
      </c>
      <c r="S13">
        <v>25.29</v>
      </c>
      <c r="T13">
        <v>0.89</v>
      </c>
      <c r="U13">
        <v>5.4</v>
      </c>
      <c r="V13">
        <v>4.18</v>
      </c>
      <c r="W13">
        <v>0.56000000000000005</v>
      </c>
      <c r="X13">
        <v>2.21</v>
      </c>
      <c r="Y13">
        <v>0.28999999999999998</v>
      </c>
      <c r="Z13">
        <v>0.63</v>
      </c>
      <c r="AA13">
        <v>0.06</v>
      </c>
      <c r="AB13">
        <v>0.41</v>
      </c>
      <c r="AC13">
        <v>0.04</v>
      </c>
      <c r="AD13">
        <v>2.62</v>
      </c>
      <c r="AE13">
        <v>14.16</v>
      </c>
      <c r="AF13">
        <v>24.35</v>
      </c>
      <c r="AG13">
        <v>3.99</v>
      </c>
      <c r="AI13">
        <f t="shared" si="0"/>
        <v>39.97</v>
      </c>
    </row>
    <row r="14" spans="1:35" x14ac:dyDescent="0.25">
      <c r="A14" t="s">
        <v>265</v>
      </c>
      <c r="B14" t="s">
        <v>155</v>
      </c>
      <c r="C14">
        <v>40</v>
      </c>
      <c r="D14">
        <v>45</v>
      </c>
      <c r="E14">
        <v>40</v>
      </c>
      <c r="F14">
        <v>50</v>
      </c>
      <c r="G14">
        <v>2</v>
      </c>
      <c r="H14">
        <v>13.69</v>
      </c>
      <c r="I14">
        <v>10.25</v>
      </c>
      <c r="J14">
        <v>2.96</v>
      </c>
      <c r="K14">
        <v>414.39</v>
      </c>
      <c r="L14">
        <v>13.66</v>
      </c>
      <c r="M14">
        <v>33.26</v>
      </c>
      <c r="N14">
        <v>16.21</v>
      </c>
      <c r="O14">
        <v>55.62</v>
      </c>
      <c r="P14">
        <v>29.35</v>
      </c>
      <c r="Q14">
        <v>58.97</v>
      </c>
      <c r="R14">
        <v>6.63</v>
      </c>
      <c r="S14">
        <v>23.87</v>
      </c>
      <c r="T14">
        <v>0.57999999999999996</v>
      </c>
      <c r="U14">
        <v>4.9800000000000004</v>
      </c>
      <c r="V14">
        <v>3.96</v>
      </c>
      <c r="W14">
        <v>0.64</v>
      </c>
      <c r="X14">
        <v>3.07</v>
      </c>
      <c r="Y14">
        <v>0.47</v>
      </c>
      <c r="Z14">
        <v>1.1100000000000001</v>
      </c>
      <c r="AA14">
        <v>0.14000000000000001</v>
      </c>
      <c r="AB14">
        <v>0.91</v>
      </c>
      <c r="AC14">
        <v>0.12</v>
      </c>
      <c r="AD14">
        <v>6.71</v>
      </c>
      <c r="AE14">
        <v>13.47</v>
      </c>
      <c r="AF14">
        <v>24.98</v>
      </c>
      <c r="AG14">
        <v>7.49</v>
      </c>
      <c r="AI14">
        <f t="shared" si="0"/>
        <v>44.39</v>
      </c>
    </row>
    <row r="15" spans="1:35" x14ac:dyDescent="0.25">
      <c r="A15" t="s">
        <v>265</v>
      </c>
      <c r="B15" t="s">
        <v>156</v>
      </c>
      <c r="C15">
        <v>45</v>
      </c>
      <c r="D15">
        <v>50</v>
      </c>
      <c r="E15">
        <v>50</v>
      </c>
      <c r="F15">
        <v>260</v>
      </c>
      <c r="G15" t="s">
        <v>8</v>
      </c>
      <c r="H15">
        <v>13.69</v>
      </c>
      <c r="I15">
        <v>9.83</v>
      </c>
      <c r="J15">
        <v>3.96</v>
      </c>
      <c r="K15">
        <v>419.36</v>
      </c>
      <c r="L15">
        <v>16.72</v>
      </c>
      <c r="M15">
        <v>36.43</v>
      </c>
      <c r="N15">
        <v>19.059999999999999</v>
      </c>
      <c r="O15">
        <v>36.64</v>
      </c>
      <c r="P15">
        <v>23.49</v>
      </c>
      <c r="Q15">
        <v>52.43</v>
      </c>
      <c r="R15">
        <v>5.51</v>
      </c>
      <c r="S15">
        <v>19.329999999999998</v>
      </c>
      <c r="T15">
        <v>0.45</v>
      </c>
      <c r="U15">
        <v>4.3499999999999996</v>
      </c>
      <c r="V15">
        <v>3.74</v>
      </c>
      <c r="W15">
        <v>0.63</v>
      </c>
      <c r="X15">
        <v>3.4</v>
      </c>
      <c r="Y15">
        <v>0.56000000000000005</v>
      </c>
      <c r="Z15">
        <v>1.46</v>
      </c>
      <c r="AA15">
        <v>0.2</v>
      </c>
      <c r="AB15">
        <v>1.24</v>
      </c>
      <c r="AC15">
        <v>0.16</v>
      </c>
      <c r="AD15">
        <v>7.96</v>
      </c>
      <c r="AE15">
        <v>18.47</v>
      </c>
      <c r="AF15">
        <v>22.36</v>
      </c>
      <c r="AG15">
        <v>8.36</v>
      </c>
      <c r="AI15">
        <f t="shared" si="0"/>
        <v>35.83</v>
      </c>
    </row>
    <row r="16" spans="1:35" x14ac:dyDescent="0.25">
      <c r="A16" t="s">
        <v>265</v>
      </c>
      <c r="B16" t="s">
        <v>157</v>
      </c>
      <c r="C16">
        <v>85</v>
      </c>
      <c r="D16">
        <v>40</v>
      </c>
      <c r="E16">
        <v>80</v>
      </c>
      <c r="F16">
        <v>280</v>
      </c>
      <c r="G16" t="s">
        <v>8</v>
      </c>
      <c r="H16">
        <v>19.239999999999998</v>
      </c>
      <c r="I16">
        <v>10.33</v>
      </c>
      <c r="J16">
        <v>2.98</v>
      </c>
      <c r="K16">
        <v>411.93</v>
      </c>
      <c r="L16">
        <v>14.9</v>
      </c>
      <c r="M16">
        <v>30.54</v>
      </c>
      <c r="N16">
        <v>12.08</v>
      </c>
      <c r="O16">
        <v>46.94</v>
      </c>
      <c r="P16">
        <v>25.38</v>
      </c>
      <c r="Q16">
        <v>50.23</v>
      </c>
      <c r="R16">
        <v>5.79</v>
      </c>
      <c r="S16">
        <v>19.8</v>
      </c>
      <c r="T16">
        <v>0.51</v>
      </c>
      <c r="U16">
        <v>4.46</v>
      </c>
      <c r="V16">
        <v>3.66</v>
      </c>
      <c r="W16">
        <v>0.61</v>
      </c>
      <c r="X16">
        <v>3.06</v>
      </c>
      <c r="Y16">
        <v>0.49</v>
      </c>
      <c r="Z16">
        <v>1.21</v>
      </c>
      <c r="AA16">
        <v>0.16</v>
      </c>
      <c r="AB16">
        <v>1.01</v>
      </c>
      <c r="AC16">
        <v>0.14000000000000001</v>
      </c>
      <c r="AD16">
        <v>5.29</v>
      </c>
      <c r="AE16">
        <v>10.27</v>
      </c>
      <c r="AF16">
        <v>20.9</v>
      </c>
      <c r="AG16">
        <v>6.23</v>
      </c>
      <c r="AI16">
        <f t="shared" si="0"/>
        <v>35.06</v>
      </c>
    </row>
    <row r="17" spans="1:35" x14ac:dyDescent="0.25">
      <c r="A17" t="s">
        <v>265</v>
      </c>
      <c r="B17" t="s">
        <v>158</v>
      </c>
      <c r="C17">
        <v>15</v>
      </c>
      <c r="D17">
        <v>45</v>
      </c>
      <c r="E17">
        <v>50</v>
      </c>
      <c r="F17">
        <v>230</v>
      </c>
      <c r="G17" t="s">
        <v>8</v>
      </c>
      <c r="H17">
        <v>22.5</v>
      </c>
      <c r="I17">
        <v>9.68</v>
      </c>
      <c r="J17">
        <v>3.47</v>
      </c>
      <c r="K17">
        <v>382.86</v>
      </c>
      <c r="L17">
        <v>13.56</v>
      </c>
      <c r="M17">
        <v>29.85</v>
      </c>
      <c r="N17">
        <v>11.73</v>
      </c>
      <c r="O17">
        <v>42.39</v>
      </c>
      <c r="P17">
        <v>22.94</v>
      </c>
      <c r="Q17">
        <v>45.17</v>
      </c>
      <c r="R17">
        <v>5.2</v>
      </c>
      <c r="S17">
        <v>18.37</v>
      </c>
      <c r="T17">
        <v>0.46</v>
      </c>
      <c r="U17">
        <v>3.82</v>
      </c>
      <c r="V17">
        <v>3.32</v>
      </c>
      <c r="W17">
        <v>0.56999999999999995</v>
      </c>
      <c r="X17">
        <v>2.89</v>
      </c>
      <c r="Y17">
        <v>0.46</v>
      </c>
      <c r="Z17">
        <v>1.1399999999999999</v>
      </c>
      <c r="AA17">
        <v>0.14000000000000001</v>
      </c>
      <c r="AB17">
        <v>0.95</v>
      </c>
      <c r="AC17">
        <v>0.12</v>
      </c>
      <c r="AD17">
        <v>5.21</v>
      </c>
      <c r="AE17">
        <v>8.3000000000000007</v>
      </c>
      <c r="AF17">
        <v>21.36</v>
      </c>
      <c r="AG17">
        <v>5.8</v>
      </c>
      <c r="AI17">
        <f t="shared" si="0"/>
        <v>73.72999999999999</v>
      </c>
    </row>
    <row r="18" spans="1:35" x14ac:dyDescent="0.25">
      <c r="A18" t="s">
        <v>265</v>
      </c>
      <c r="B18" t="s">
        <v>159</v>
      </c>
      <c r="C18">
        <v>65</v>
      </c>
      <c r="D18">
        <v>25</v>
      </c>
      <c r="E18">
        <v>90</v>
      </c>
      <c r="F18">
        <v>460</v>
      </c>
      <c r="G18" t="s">
        <v>8</v>
      </c>
      <c r="H18">
        <v>74.09</v>
      </c>
      <c r="I18">
        <v>10.55</v>
      </c>
      <c r="J18">
        <v>4.45</v>
      </c>
      <c r="K18">
        <v>553.03</v>
      </c>
      <c r="L18">
        <v>8.92</v>
      </c>
      <c r="M18">
        <v>37.4</v>
      </c>
      <c r="N18">
        <v>15.6</v>
      </c>
      <c r="O18">
        <v>63.97</v>
      </c>
      <c r="P18">
        <v>39.51</v>
      </c>
      <c r="Q18">
        <v>81.81</v>
      </c>
      <c r="R18">
        <v>9.64</v>
      </c>
      <c r="S18">
        <v>33.18</v>
      </c>
      <c r="T18">
        <v>0.66</v>
      </c>
      <c r="U18">
        <v>6.24</v>
      </c>
      <c r="V18">
        <v>4.45</v>
      </c>
      <c r="W18">
        <v>0.54</v>
      </c>
      <c r="X18">
        <v>2.19</v>
      </c>
      <c r="Y18">
        <v>0.32</v>
      </c>
      <c r="Z18">
        <v>0.74</v>
      </c>
      <c r="AA18">
        <v>0.09</v>
      </c>
      <c r="AB18">
        <v>0.62</v>
      </c>
      <c r="AC18">
        <v>0.06</v>
      </c>
      <c r="AD18">
        <v>36.33</v>
      </c>
      <c r="AE18">
        <v>14.78</v>
      </c>
      <c r="AF18">
        <v>34.58</v>
      </c>
      <c r="AG18">
        <v>5.72</v>
      </c>
      <c r="AI18">
        <f t="shared" si="0"/>
        <v>37.19</v>
      </c>
    </row>
    <row r="19" spans="1:35" x14ac:dyDescent="0.25">
      <c r="A19" t="s">
        <v>265</v>
      </c>
      <c r="B19" t="s">
        <v>160</v>
      </c>
      <c r="C19">
        <v>15</v>
      </c>
      <c r="D19">
        <v>40</v>
      </c>
      <c r="E19">
        <v>55</v>
      </c>
      <c r="F19">
        <v>190</v>
      </c>
      <c r="G19" t="s">
        <v>8</v>
      </c>
      <c r="H19">
        <v>10.210000000000001</v>
      </c>
      <c r="I19">
        <v>9.8699999999999992</v>
      </c>
      <c r="J19">
        <v>3.05</v>
      </c>
      <c r="K19">
        <v>381.79</v>
      </c>
      <c r="L19">
        <v>17.63</v>
      </c>
      <c r="M19">
        <v>32.35</v>
      </c>
      <c r="N19">
        <v>11.42</v>
      </c>
      <c r="O19">
        <v>32.729999999999997</v>
      </c>
      <c r="P19">
        <v>39.840000000000003</v>
      </c>
      <c r="Q19">
        <v>78.48</v>
      </c>
      <c r="R19">
        <v>9.11</v>
      </c>
      <c r="S19">
        <v>31.34</v>
      </c>
      <c r="T19">
        <v>0.61</v>
      </c>
      <c r="U19">
        <v>6.61</v>
      </c>
      <c r="V19">
        <v>5.3</v>
      </c>
      <c r="W19">
        <v>0.86</v>
      </c>
      <c r="X19">
        <v>3.96</v>
      </c>
      <c r="Y19">
        <v>0.59</v>
      </c>
      <c r="Z19">
        <v>1.48</v>
      </c>
      <c r="AA19">
        <v>0.19</v>
      </c>
      <c r="AB19">
        <v>1.1399999999999999</v>
      </c>
      <c r="AC19">
        <v>0.15</v>
      </c>
      <c r="AD19">
        <v>4.84</v>
      </c>
      <c r="AE19">
        <v>10.32</v>
      </c>
      <c r="AF19">
        <v>34.39</v>
      </c>
      <c r="AG19">
        <v>12.42</v>
      </c>
      <c r="AI19">
        <f t="shared" si="0"/>
        <v>29.39</v>
      </c>
    </row>
    <row r="20" spans="1:35" x14ac:dyDescent="0.25">
      <c r="A20" t="s">
        <v>265</v>
      </c>
      <c r="B20" t="s">
        <v>161</v>
      </c>
      <c r="C20">
        <v>85</v>
      </c>
      <c r="D20">
        <v>40</v>
      </c>
      <c r="E20">
        <v>65</v>
      </c>
      <c r="F20">
        <v>180</v>
      </c>
      <c r="G20">
        <v>2</v>
      </c>
      <c r="H20">
        <v>11.6</v>
      </c>
      <c r="I20">
        <v>9.58</v>
      </c>
      <c r="J20">
        <v>2.48</v>
      </c>
      <c r="K20">
        <v>420.45</v>
      </c>
      <c r="L20">
        <v>6.74</v>
      </c>
      <c r="M20">
        <v>24.35</v>
      </c>
      <c r="N20">
        <v>10.77</v>
      </c>
      <c r="O20">
        <v>35.15</v>
      </c>
      <c r="P20">
        <v>39.99</v>
      </c>
      <c r="Q20">
        <v>79.89</v>
      </c>
      <c r="R20">
        <v>9.2100000000000009</v>
      </c>
      <c r="S20">
        <v>31.37</v>
      </c>
      <c r="T20">
        <v>0.69</v>
      </c>
      <c r="U20">
        <v>5.7</v>
      </c>
      <c r="V20">
        <v>3.99</v>
      </c>
      <c r="W20">
        <v>0.47</v>
      </c>
      <c r="X20">
        <v>1.79</v>
      </c>
      <c r="Y20">
        <v>0.24</v>
      </c>
      <c r="Z20">
        <v>0.61</v>
      </c>
      <c r="AA20">
        <v>0.05</v>
      </c>
      <c r="AB20">
        <v>0.46</v>
      </c>
      <c r="AC20">
        <v>7.0000000000000007E-2</v>
      </c>
      <c r="AD20">
        <v>5.04</v>
      </c>
      <c r="AE20">
        <v>7.66</v>
      </c>
      <c r="AF20">
        <v>32.92</v>
      </c>
      <c r="AG20">
        <v>4.6500000000000004</v>
      </c>
      <c r="AI20">
        <f t="shared" si="0"/>
        <v>12.19</v>
      </c>
    </row>
    <row r="21" spans="1:35" x14ac:dyDescent="0.25">
      <c r="A21" t="s">
        <v>265</v>
      </c>
      <c r="B21" t="s">
        <v>162</v>
      </c>
      <c r="C21">
        <v>15</v>
      </c>
      <c r="D21">
        <v>25</v>
      </c>
      <c r="E21">
        <v>45</v>
      </c>
      <c r="F21">
        <v>40</v>
      </c>
      <c r="G21" t="s">
        <v>8</v>
      </c>
      <c r="H21">
        <v>2.09</v>
      </c>
      <c r="I21">
        <v>10.31</v>
      </c>
      <c r="J21">
        <v>3.43</v>
      </c>
      <c r="K21">
        <v>84.69</v>
      </c>
      <c r="L21">
        <v>11.98</v>
      </c>
      <c r="M21">
        <v>11.09</v>
      </c>
      <c r="N21">
        <v>9.42</v>
      </c>
      <c r="O21">
        <v>5.42</v>
      </c>
      <c r="P21">
        <v>24.85</v>
      </c>
      <c r="Q21">
        <v>43.11</v>
      </c>
      <c r="R21">
        <v>4.41</v>
      </c>
      <c r="S21">
        <v>14.91</v>
      </c>
      <c r="T21">
        <v>0.68</v>
      </c>
      <c r="U21">
        <v>2.31</v>
      </c>
      <c r="V21">
        <v>2.0299999999999998</v>
      </c>
      <c r="W21">
        <v>0.31</v>
      </c>
      <c r="X21">
        <v>1.86</v>
      </c>
      <c r="Y21">
        <v>0.4</v>
      </c>
      <c r="Z21">
        <v>1.1399999999999999</v>
      </c>
      <c r="AA21">
        <v>0.17</v>
      </c>
      <c r="AB21">
        <v>1.2</v>
      </c>
      <c r="AC21">
        <v>0.19</v>
      </c>
      <c r="AD21">
        <v>1.1000000000000001</v>
      </c>
      <c r="AE21">
        <v>7.36</v>
      </c>
      <c r="AF21">
        <v>7.73</v>
      </c>
      <c r="AG21">
        <v>0.85</v>
      </c>
      <c r="AI21">
        <f t="shared" si="0"/>
        <v>11.11</v>
      </c>
    </row>
    <row r="22" spans="1:35" x14ac:dyDescent="0.25">
      <c r="A22" t="s">
        <v>265</v>
      </c>
      <c r="B22" t="s">
        <v>163</v>
      </c>
      <c r="C22">
        <v>10</v>
      </c>
      <c r="D22">
        <v>15</v>
      </c>
      <c r="E22">
        <v>45</v>
      </c>
      <c r="F22">
        <v>30</v>
      </c>
      <c r="G22" t="s">
        <v>8</v>
      </c>
      <c r="H22">
        <v>1.88</v>
      </c>
      <c r="I22">
        <v>10.15</v>
      </c>
      <c r="J22">
        <v>3.58</v>
      </c>
      <c r="K22">
        <v>79.31</v>
      </c>
      <c r="L22">
        <v>7.52</v>
      </c>
      <c r="M22">
        <v>10.33</v>
      </c>
      <c r="N22">
        <v>8.0299999999999994</v>
      </c>
      <c r="O22">
        <v>5.64</v>
      </c>
      <c r="P22">
        <v>29.2</v>
      </c>
      <c r="Q22">
        <v>49.54</v>
      </c>
      <c r="R22">
        <v>5.1100000000000003</v>
      </c>
      <c r="S22">
        <v>16.68</v>
      </c>
      <c r="T22">
        <v>0.74</v>
      </c>
      <c r="U22">
        <v>2.67</v>
      </c>
      <c r="V22">
        <v>2.14</v>
      </c>
      <c r="W22">
        <v>0.26</v>
      </c>
      <c r="X22">
        <v>1.41</v>
      </c>
      <c r="Y22">
        <v>0.25</v>
      </c>
      <c r="Z22">
        <v>0.77</v>
      </c>
      <c r="AA22">
        <v>0.11</v>
      </c>
      <c r="AB22">
        <v>0.81</v>
      </c>
      <c r="AC22">
        <v>0.13</v>
      </c>
      <c r="AD22">
        <v>0.78</v>
      </c>
      <c r="AE22">
        <v>5.17</v>
      </c>
      <c r="AF22">
        <v>7.71</v>
      </c>
      <c r="AG22">
        <v>0.78</v>
      </c>
      <c r="AI22">
        <f t="shared" si="0"/>
        <v>65.41</v>
      </c>
    </row>
    <row r="23" spans="1:35" x14ac:dyDescent="0.25">
      <c r="A23" t="s">
        <v>265</v>
      </c>
      <c r="B23" t="s">
        <v>164</v>
      </c>
      <c r="C23">
        <v>20</v>
      </c>
      <c r="D23">
        <v>25</v>
      </c>
      <c r="E23">
        <v>25</v>
      </c>
      <c r="F23">
        <v>190</v>
      </c>
      <c r="G23">
        <v>2</v>
      </c>
      <c r="H23">
        <v>74.02</v>
      </c>
      <c r="I23">
        <v>10.24</v>
      </c>
      <c r="J23">
        <v>5.22</v>
      </c>
      <c r="K23">
        <v>534.25</v>
      </c>
      <c r="L23">
        <v>12.04</v>
      </c>
      <c r="M23">
        <v>44.98</v>
      </c>
      <c r="N23">
        <v>10.81</v>
      </c>
      <c r="O23">
        <v>24.08</v>
      </c>
      <c r="P23">
        <v>12.82</v>
      </c>
      <c r="Q23">
        <v>26.62</v>
      </c>
      <c r="R23">
        <v>3.42</v>
      </c>
      <c r="S23">
        <v>13.02</v>
      </c>
      <c r="T23">
        <v>0.28999999999999998</v>
      </c>
      <c r="U23">
        <v>2.99</v>
      </c>
      <c r="V23">
        <v>2.27</v>
      </c>
      <c r="W23">
        <v>0.33</v>
      </c>
      <c r="X23">
        <v>2.0499999999999998</v>
      </c>
      <c r="Y23">
        <v>0.39</v>
      </c>
      <c r="Z23">
        <v>1.1399999999999999</v>
      </c>
      <c r="AA23">
        <v>0.2</v>
      </c>
      <c r="AB23">
        <v>1.34</v>
      </c>
      <c r="AC23">
        <v>0.21</v>
      </c>
      <c r="AD23">
        <v>20.43</v>
      </c>
      <c r="AE23">
        <v>5</v>
      </c>
      <c r="AF23">
        <v>10.23</v>
      </c>
      <c r="AG23">
        <v>3.56</v>
      </c>
      <c r="AI23">
        <f t="shared" si="0"/>
        <v>138.60999999999999</v>
      </c>
    </row>
    <row r="24" spans="1:35" x14ac:dyDescent="0.25">
      <c r="A24" t="s">
        <v>265</v>
      </c>
      <c r="B24" t="s">
        <v>165</v>
      </c>
      <c r="C24">
        <v>25</v>
      </c>
      <c r="D24">
        <v>25</v>
      </c>
      <c r="E24">
        <v>15</v>
      </c>
      <c r="F24">
        <v>30</v>
      </c>
      <c r="G24" t="s">
        <v>8</v>
      </c>
      <c r="H24">
        <v>64.739999999999995</v>
      </c>
      <c r="I24">
        <v>9.83</v>
      </c>
      <c r="J24">
        <v>3.64</v>
      </c>
      <c r="K24">
        <v>627.66999999999996</v>
      </c>
      <c r="L24">
        <v>2.58</v>
      </c>
      <c r="M24">
        <v>92.49</v>
      </c>
      <c r="N24">
        <v>11.3</v>
      </c>
      <c r="O24">
        <v>21.36</v>
      </c>
      <c r="P24">
        <v>1.23</v>
      </c>
      <c r="Q24">
        <v>2.0299999999999998</v>
      </c>
      <c r="R24">
        <v>0.18</v>
      </c>
      <c r="S24">
        <v>0.6</v>
      </c>
      <c r="T24" t="s">
        <v>132</v>
      </c>
      <c r="U24">
        <v>0.12</v>
      </c>
      <c r="V24">
        <v>0.11</v>
      </c>
      <c r="W24">
        <v>0.03</v>
      </c>
      <c r="X24">
        <v>0.32</v>
      </c>
      <c r="Y24">
        <v>0.04</v>
      </c>
      <c r="Z24">
        <v>0.16</v>
      </c>
      <c r="AA24">
        <v>0.01</v>
      </c>
      <c r="AB24">
        <v>0.23</v>
      </c>
      <c r="AC24">
        <v>0.01</v>
      </c>
      <c r="AD24">
        <v>46.12</v>
      </c>
      <c r="AE24">
        <v>8.1999999999999993</v>
      </c>
      <c r="AF24">
        <v>19.649999999999999</v>
      </c>
      <c r="AG24">
        <v>3.17</v>
      </c>
      <c r="AI24">
        <f t="shared" si="0"/>
        <v>35.090000000000003</v>
      </c>
    </row>
    <row r="25" spans="1:35" x14ac:dyDescent="0.25">
      <c r="A25" t="s">
        <v>265</v>
      </c>
      <c r="B25" t="s">
        <v>166</v>
      </c>
      <c r="C25">
        <v>20</v>
      </c>
      <c r="D25">
        <v>45</v>
      </c>
      <c r="E25">
        <v>65</v>
      </c>
      <c r="F25">
        <v>240</v>
      </c>
      <c r="G25" t="s">
        <v>8</v>
      </c>
      <c r="H25">
        <v>9.31</v>
      </c>
      <c r="I25">
        <v>9.91</v>
      </c>
      <c r="J25">
        <v>3.26</v>
      </c>
      <c r="K25">
        <v>495.81</v>
      </c>
      <c r="L25">
        <v>9.6999999999999993</v>
      </c>
      <c r="M25">
        <v>30.23</v>
      </c>
      <c r="N25">
        <v>11.43</v>
      </c>
      <c r="O25">
        <v>39.93</v>
      </c>
      <c r="P25">
        <v>45.87</v>
      </c>
      <c r="Q25">
        <v>93.72</v>
      </c>
      <c r="R25">
        <v>10.98</v>
      </c>
      <c r="S25">
        <v>38.299999999999997</v>
      </c>
      <c r="T25">
        <v>0.89</v>
      </c>
      <c r="U25">
        <v>7.44</v>
      </c>
      <c r="V25">
        <v>5.34</v>
      </c>
      <c r="W25">
        <v>0.65</v>
      </c>
      <c r="X25">
        <v>2.5299999999999998</v>
      </c>
      <c r="Y25">
        <v>0.34</v>
      </c>
      <c r="Z25">
        <v>0.91</v>
      </c>
      <c r="AA25">
        <v>0.09</v>
      </c>
      <c r="AB25">
        <v>0.57999999999999996</v>
      </c>
      <c r="AC25">
        <v>7.0000000000000007E-2</v>
      </c>
      <c r="AD25">
        <v>4.8600000000000003</v>
      </c>
      <c r="AE25">
        <v>8.3000000000000007</v>
      </c>
      <c r="AF25">
        <v>35.479999999999997</v>
      </c>
      <c r="AG25">
        <v>4.59</v>
      </c>
      <c r="AI25">
        <f t="shared" si="0"/>
        <v>70.16</v>
      </c>
    </row>
    <row r="26" spans="1:35" x14ac:dyDescent="0.25">
      <c r="A26" t="s">
        <v>265</v>
      </c>
      <c r="B26" t="s">
        <v>167</v>
      </c>
      <c r="C26">
        <v>25</v>
      </c>
      <c r="D26">
        <v>40</v>
      </c>
      <c r="E26">
        <v>45</v>
      </c>
      <c r="F26">
        <v>220</v>
      </c>
      <c r="G26" t="s">
        <v>8</v>
      </c>
      <c r="H26">
        <v>137.55000000000001</v>
      </c>
      <c r="I26">
        <v>9.58</v>
      </c>
      <c r="J26">
        <v>3.14</v>
      </c>
      <c r="K26">
        <v>563.14</v>
      </c>
      <c r="L26">
        <v>8.24</v>
      </c>
      <c r="M26">
        <v>41.45</v>
      </c>
      <c r="N26">
        <v>13.24</v>
      </c>
      <c r="O26">
        <v>69.430000000000007</v>
      </c>
      <c r="P26">
        <v>23.19</v>
      </c>
      <c r="Q26">
        <v>46.97</v>
      </c>
      <c r="R26">
        <v>5.46</v>
      </c>
      <c r="S26">
        <v>19.43</v>
      </c>
      <c r="T26">
        <v>0.64</v>
      </c>
      <c r="U26">
        <v>4.1900000000000004</v>
      </c>
      <c r="V26">
        <v>3.19</v>
      </c>
      <c r="W26">
        <v>0.49</v>
      </c>
      <c r="X26">
        <v>1.95</v>
      </c>
      <c r="Y26">
        <v>0.27</v>
      </c>
      <c r="Z26">
        <v>0.64</v>
      </c>
      <c r="AA26">
        <v>0.06</v>
      </c>
      <c r="AB26">
        <v>0.45</v>
      </c>
      <c r="AC26">
        <v>0.05</v>
      </c>
      <c r="AD26">
        <v>28.71</v>
      </c>
      <c r="AE26">
        <v>14.96</v>
      </c>
      <c r="AF26">
        <v>22.01</v>
      </c>
      <c r="AG26">
        <v>5.2</v>
      </c>
      <c r="AI26">
        <f t="shared" si="0"/>
        <v>39.03</v>
      </c>
    </row>
    <row r="27" spans="1:35" x14ac:dyDescent="0.25">
      <c r="A27" t="s">
        <v>265</v>
      </c>
      <c r="B27" t="s">
        <v>168</v>
      </c>
      <c r="C27">
        <v>15</v>
      </c>
      <c r="D27">
        <v>55</v>
      </c>
      <c r="E27">
        <v>60</v>
      </c>
      <c r="F27">
        <v>210</v>
      </c>
      <c r="G27">
        <v>2</v>
      </c>
      <c r="H27">
        <v>6.03</v>
      </c>
      <c r="I27">
        <v>10.17</v>
      </c>
      <c r="J27">
        <v>3.68</v>
      </c>
      <c r="K27">
        <v>413.03</v>
      </c>
      <c r="L27">
        <v>23.75</v>
      </c>
      <c r="M27">
        <v>33.49</v>
      </c>
      <c r="N27">
        <v>12.53</v>
      </c>
      <c r="O27">
        <v>24.54</v>
      </c>
      <c r="P27">
        <v>45.93</v>
      </c>
      <c r="Q27">
        <v>86.61</v>
      </c>
      <c r="R27">
        <v>10.71</v>
      </c>
      <c r="S27">
        <v>37.619999999999997</v>
      </c>
      <c r="T27">
        <v>0.92</v>
      </c>
      <c r="U27">
        <v>8.06</v>
      </c>
      <c r="V27">
        <v>6.91</v>
      </c>
      <c r="W27">
        <v>1.07</v>
      </c>
      <c r="X27">
        <v>5.19</v>
      </c>
      <c r="Y27">
        <v>0.8</v>
      </c>
      <c r="Z27">
        <v>2.02</v>
      </c>
      <c r="AA27">
        <v>0.24</v>
      </c>
      <c r="AB27">
        <v>1.53</v>
      </c>
      <c r="AC27">
        <v>0.23</v>
      </c>
      <c r="AD27">
        <v>5.54</v>
      </c>
      <c r="AE27">
        <v>7.7</v>
      </c>
      <c r="AF27">
        <v>35.79</v>
      </c>
      <c r="AG27">
        <v>9.56</v>
      </c>
      <c r="AI27">
        <f t="shared" si="0"/>
        <v>38.39</v>
      </c>
    </row>
    <row r="28" spans="1:35" x14ac:dyDescent="0.25">
      <c r="A28" t="s">
        <v>265</v>
      </c>
      <c r="B28" t="s">
        <v>169</v>
      </c>
      <c r="C28">
        <v>15</v>
      </c>
      <c r="D28">
        <v>45</v>
      </c>
      <c r="E28">
        <v>50</v>
      </c>
      <c r="F28">
        <v>260</v>
      </c>
      <c r="G28" t="s">
        <v>8</v>
      </c>
      <c r="H28">
        <v>34.619999999999997</v>
      </c>
      <c r="I28">
        <v>9.92</v>
      </c>
      <c r="J28">
        <v>2.68</v>
      </c>
      <c r="K28">
        <v>435.98</v>
      </c>
      <c r="L28">
        <v>14.33</v>
      </c>
      <c r="M28">
        <v>30.7</v>
      </c>
      <c r="N28">
        <v>10.52</v>
      </c>
      <c r="O28">
        <v>53.75</v>
      </c>
      <c r="P28">
        <v>23.09</v>
      </c>
      <c r="Q28">
        <v>45.81</v>
      </c>
      <c r="R28">
        <v>5.27</v>
      </c>
      <c r="S28">
        <v>18.32</v>
      </c>
      <c r="T28">
        <v>0.43</v>
      </c>
      <c r="U28">
        <v>3.91</v>
      </c>
      <c r="V28">
        <v>3.39</v>
      </c>
      <c r="W28">
        <v>0.56999999999999995</v>
      </c>
      <c r="X28">
        <v>2.91</v>
      </c>
      <c r="Y28">
        <v>0.45</v>
      </c>
      <c r="Z28">
        <v>1.18</v>
      </c>
      <c r="AA28">
        <v>0.15</v>
      </c>
      <c r="AB28">
        <v>0.96</v>
      </c>
      <c r="AC28">
        <v>0.13</v>
      </c>
      <c r="AD28">
        <v>7.69</v>
      </c>
      <c r="AE28">
        <v>5.8</v>
      </c>
      <c r="AF28">
        <v>19.850000000000001</v>
      </c>
      <c r="AG28">
        <v>6.29</v>
      </c>
      <c r="AI28">
        <f t="shared" si="0"/>
        <v>81.900000000000006</v>
      </c>
    </row>
    <row r="29" spans="1:35" x14ac:dyDescent="0.25">
      <c r="A29" t="s">
        <v>265</v>
      </c>
      <c r="B29" t="s">
        <v>202</v>
      </c>
      <c r="C29">
        <v>55</v>
      </c>
      <c r="D29">
        <v>35</v>
      </c>
      <c r="E29">
        <v>65</v>
      </c>
      <c r="F29">
        <v>320</v>
      </c>
      <c r="G29" t="s">
        <v>8</v>
      </c>
      <c r="H29">
        <v>27.09</v>
      </c>
      <c r="I29">
        <v>9.7799999999999994</v>
      </c>
      <c r="J29">
        <v>2.97</v>
      </c>
      <c r="K29">
        <v>541.12</v>
      </c>
      <c r="L29">
        <v>14.75</v>
      </c>
      <c r="M29">
        <v>57.2</v>
      </c>
      <c r="N29">
        <v>12.4</v>
      </c>
      <c r="O29">
        <v>58.91</v>
      </c>
      <c r="P29">
        <v>24.36</v>
      </c>
      <c r="Q29">
        <v>48.21</v>
      </c>
      <c r="R29">
        <v>5.67</v>
      </c>
      <c r="S29">
        <v>20.12</v>
      </c>
      <c r="T29">
        <v>0.64</v>
      </c>
      <c r="U29">
        <v>4.72</v>
      </c>
      <c r="V29">
        <v>4.1900000000000004</v>
      </c>
      <c r="W29">
        <v>0.66</v>
      </c>
      <c r="X29">
        <v>2.9</v>
      </c>
      <c r="Y29">
        <v>0.43</v>
      </c>
      <c r="Z29">
        <v>1.05</v>
      </c>
      <c r="AA29">
        <v>0.13</v>
      </c>
      <c r="AB29">
        <v>0.84</v>
      </c>
      <c r="AC29">
        <v>0.1</v>
      </c>
      <c r="AD29">
        <v>24.7</v>
      </c>
      <c r="AE29">
        <v>9.85</v>
      </c>
      <c r="AF29">
        <v>17.8</v>
      </c>
      <c r="AG29">
        <v>4.82</v>
      </c>
      <c r="AI29">
        <f t="shared" si="0"/>
        <v>35.65</v>
      </c>
    </row>
    <row r="30" spans="1:35" x14ac:dyDescent="0.25">
      <c r="A30" t="s">
        <v>265</v>
      </c>
      <c r="B30" t="s">
        <v>203</v>
      </c>
      <c r="C30">
        <v>20</v>
      </c>
      <c r="D30">
        <v>50</v>
      </c>
      <c r="E30">
        <v>70</v>
      </c>
      <c r="F30">
        <v>250</v>
      </c>
      <c r="G30" t="s">
        <v>8</v>
      </c>
      <c r="H30">
        <v>12.31</v>
      </c>
      <c r="I30">
        <v>8.9700000000000006</v>
      </c>
      <c r="J30">
        <v>3.61</v>
      </c>
      <c r="K30">
        <v>442.36</v>
      </c>
      <c r="L30">
        <v>11.74</v>
      </c>
      <c r="M30">
        <v>28.27</v>
      </c>
      <c r="N30">
        <v>12.02</v>
      </c>
      <c r="O30">
        <v>51.26</v>
      </c>
      <c r="P30">
        <v>40.98</v>
      </c>
      <c r="Q30">
        <v>82.38</v>
      </c>
      <c r="R30">
        <v>9.4700000000000006</v>
      </c>
      <c r="S30">
        <v>32.81</v>
      </c>
      <c r="T30">
        <v>0.84</v>
      </c>
      <c r="U30">
        <v>6.84</v>
      </c>
      <c r="V30">
        <v>5.41</v>
      </c>
      <c r="W30">
        <v>0.73</v>
      </c>
      <c r="X30">
        <v>2.91</v>
      </c>
      <c r="Y30">
        <v>0.38</v>
      </c>
      <c r="Z30">
        <v>0.96</v>
      </c>
      <c r="AA30">
        <v>0.11</v>
      </c>
      <c r="AB30">
        <v>0.66</v>
      </c>
      <c r="AC30">
        <v>0.09</v>
      </c>
      <c r="AD30">
        <v>7.38</v>
      </c>
      <c r="AE30">
        <v>6.82</v>
      </c>
      <c r="AF30">
        <v>30.53</v>
      </c>
      <c r="AG30">
        <v>5.17</v>
      </c>
      <c r="AI30">
        <f t="shared" si="0"/>
        <v>239.66000000000003</v>
      </c>
    </row>
    <row r="31" spans="1:35" x14ac:dyDescent="0.25">
      <c r="A31" t="s">
        <v>265</v>
      </c>
      <c r="B31" t="s">
        <v>204</v>
      </c>
      <c r="C31">
        <v>15</v>
      </c>
      <c r="D31">
        <v>20</v>
      </c>
      <c r="E31" t="s">
        <v>7</v>
      </c>
      <c r="F31">
        <v>15</v>
      </c>
      <c r="G31" t="s">
        <v>8</v>
      </c>
      <c r="H31">
        <v>51.5</v>
      </c>
      <c r="I31">
        <v>8.7200000000000006</v>
      </c>
      <c r="J31">
        <v>2.77</v>
      </c>
      <c r="K31">
        <v>507.35</v>
      </c>
      <c r="L31">
        <v>4.53</v>
      </c>
      <c r="M31">
        <v>169.61</v>
      </c>
      <c r="N31">
        <v>9.51</v>
      </c>
      <c r="O31">
        <v>11.48</v>
      </c>
      <c r="P31">
        <v>6.52</v>
      </c>
      <c r="Q31">
        <v>3.6</v>
      </c>
      <c r="R31">
        <v>1.07</v>
      </c>
      <c r="S31">
        <v>3.68</v>
      </c>
      <c r="T31">
        <v>0.15</v>
      </c>
      <c r="U31">
        <v>0.73</v>
      </c>
      <c r="V31">
        <v>0.61</v>
      </c>
      <c r="W31">
        <v>0.13</v>
      </c>
      <c r="X31">
        <v>0.73</v>
      </c>
      <c r="Y31">
        <v>0.11</v>
      </c>
      <c r="Z31">
        <v>0.27</v>
      </c>
      <c r="AA31">
        <v>0.03</v>
      </c>
      <c r="AB31">
        <v>0.31</v>
      </c>
      <c r="AC31">
        <v>0.03</v>
      </c>
      <c r="AD31">
        <v>70.05</v>
      </c>
      <c r="AE31">
        <v>5.68</v>
      </c>
      <c r="AF31">
        <v>13.57</v>
      </c>
      <c r="AG31">
        <v>2.42</v>
      </c>
      <c r="AI31">
        <f t="shared" si="0"/>
        <v>180.95</v>
      </c>
    </row>
    <row r="32" spans="1:35" x14ac:dyDescent="0.25">
      <c r="A32" t="s">
        <v>265</v>
      </c>
      <c r="B32" t="s">
        <v>205</v>
      </c>
      <c r="C32">
        <v>10</v>
      </c>
      <c r="D32">
        <v>15</v>
      </c>
      <c r="E32">
        <v>30</v>
      </c>
      <c r="F32">
        <v>15</v>
      </c>
      <c r="G32" t="s">
        <v>8</v>
      </c>
      <c r="H32">
        <v>82.12</v>
      </c>
      <c r="I32">
        <v>9.1199999999999992</v>
      </c>
      <c r="J32">
        <v>3.35</v>
      </c>
      <c r="K32">
        <v>206.57</v>
      </c>
      <c r="L32">
        <v>3.94</v>
      </c>
      <c r="M32">
        <v>97.42</v>
      </c>
      <c r="N32">
        <v>8.8000000000000007</v>
      </c>
      <c r="O32">
        <v>7.88</v>
      </c>
      <c r="P32">
        <v>1.92</v>
      </c>
      <c r="Q32">
        <v>3.67</v>
      </c>
      <c r="R32">
        <v>0.33</v>
      </c>
      <c r="S32">
        <v>0.94</v>
      </c>
      <c r="T32" t="s">
        <v>132</v>
      </c>
      <c r="U32">
        <v>0.8</v>
      </c>
      <c r="V32">
        <v>0.28999999999999998</v>
      </c>
      <c r="W32">
        <v>0.05</v>
      </c>
      <c r="X32">
        <v>0.48</v>
      </c>
      <c r="Y32">
        <v>7.0000000000000007E-2</v>
      </c>
      <c r="Z32">
        <v>0.14000000000000001</v>
      </c>
      <c r="AA32">
        <v>0.01</v>
      </c>
      <c r="AB32">
        <v>0.19</v>
      </c>
      <c r="AC32" t="s">
        <v>148</v>
      </c>
      <c r="AD32">
        <v>83.53</v>
      </c>
      <c r="AE32">
        <v>5</v>
      </c>
      <c r="AF32">
        <v>11.72</v>
      </c>
      <c r="AG32">
        <v>3.21</v>
      </c>
      <c r="AI32">
        <f t="shared" si="0"/>
        <v>18.240000000000002</v>
      </c>
    </row>
    <row r="33" spans="1:35" x14ac:dyDescent="0.25">
      <c r="A33" t="s">
        <v>265</v>
      </c>
      <c r="B33" t="s">
        <v>206</v>
      </c>
      <c r="C33" t="s">
        <v>7</v>
      </c>
      <c r="D33">
        <v>35</v>
      </c>
      <c r="E33">
        <v>45</v>
      </c>
      <c r="F33">
        <v>45</v>
      </c>
      <c r="G33" t="s">
        <v>8</v>
      </c>
      <c r="H33">
        <v>3.5</v>
      </c>
      <c r="I33">
        <v>9.9700000000000006</v>
      </c>
      <c r="J33">
        <v>4.2</v>
      </c>
      <c r="K33">
        <v>267.25</v>
      </c>
      <c r="L33">
        <v>34.96</v>
      </c>
      <c r="M33">
        <v>16.3</v>
      </c>
      <c r="N33">
        <v>9.08</v>
      </c>
      <c r="O33">
        <v>9.68</v>
      </c>
      <c r="P33">
        <v>75.27</v>
      </c>
      <c r="Q33">
        <v>140.46</v>
      </c>
      <c r="R33">
        <v>15.8</v>
      </c>
      <c r="S33">
        <v>54.16</v>
      </c>
      <c r="T33">
        <v>1.03</v>
      </c>
      <c r="U33">
        <v>9.76</v>
      </c>
      <c r="V33">
        <v>8.66</v>
      </c>
      <c r="W33">
        <v>1.35</v>
      </c>
      <c r="X33">
        <v>7.15</v>
      </c>
      <c r="Y33">
        <v>1.31</v>
      </c>
      <c r="Z33">
        <v>3.67</v>
      </c>
      <c r="AA33">
        <v>0.55000000000000004</v>
      </c>
      <c r="AB33">
        <v>3.41</v>
      </c>
      <c r="AC33">
        <v>0.51</v>
      </c>
      <c r="AD33">
        <v>1.94</v>
      </c>
      <c r="AE33" t="s">
        <v>37</v>
      </c>
      <c r="AF33">
        <v>75.09</v>
      </c>
      <c r="AG33">
        <v>8.57</v>
      </c>
      <c r="AI33">
        <f t="shared" si="0"/>
        <v>37.24</v>
      </c>
    </row>
    <row r="34" spans="1:35" x14ac:dyDescent="0.25">
      <c r="A34" t="s">
        <v>265</v>
      </c>
      <c r="B34" t="s">
        <v>207</v>
      </c>
      <c r="C34">
        <v>10</v>
      </c>
      <c r="D34">
        <v>20</v>
      </c>
      <c r="E34">
        <v>45</v>
      </c>
      <c r="F34">
        <v>230</v>
      </c>
      <c r="G34" t="s">
        <v>8</v>
      </c>
      <c r="H34">
        <v>8.5</v>
      </c>
      <c r="I34">
        <v>10.050000000000001</v>
      </c>
      <c r="J34">
        <v>3.41</v>
      </c>
      <c r="K34">
        <v>366.2</v>
      </c>
      <c r="L34">
        <v>9.4</v>
      </c>
      <c r="M34">
        <v>28.21</v>
      </c>
      <c r="N34">
        <v>11.32</v>
      </c>
      <c r="O34">
        <v>52.42</v>
      </c>
      <c r="P34">
        <v>2.73</v>
      </c>
      <c r="Q34">
        <v>5.78</v>
      </c>
      <c r="R34">
        <v>0.63</v>
      </c>
      <c r="S34">
        <v>2.12</v>
      </c>
      <c r="T34" t="s">
        <v>132</v>
      </c>
      <c r="U34">
        <v>0.73</v>
      </c>
      <c r="V34">
        <v>0.86</v>
      </c>
      <c r="W34">
        <v>0.24</v>
      </c>
      <c r="X34">
        <v>1.5</v>
      </c>
      <c r="Y34">
        <v>0.24</v>
      </c>
      <c r="Z34">
        <v>0.73</v>
      </c>
      <c r="AA34">
        <v>0.13</v>
      </c>
      <c r="AB34">
        <v>0.86</v>
      </c>
      <c r="AC34">
        <v>0.1</v>
      </c>
      <c r="AD34">
        <v>9.0299999999999994</v>
      </c>
      <c r="AE34">
        <v>8.2200000000000006</v>
      </c>
      <c r="AF34">
        <v>5.39</v>
      </c>
      <c r="AG34">
        <v>3.6</v>
      </c>
      <c r="AI34">
        <f t="shared" si="0"/>
        <v>41.24</v>
      </c>
    </row>
    <row r="35" spans="1:35" x14ac:dyDescent="0.25">
      <c r="A35" t="s">
        <v>265</v>
      </c>
      <c r="B35" t="s">
        <v>208</v>
      </c>
      <c r="C35">
        <v>40</v>
      </c>
      <c r="D35">
        <v>45</v>
      </c>
      <c r="E35">
        <v>60</v>
      </c>
      <c r="F35">
        <v>390</v>
      </c>
      <c r="G35" t="s">
        <v>8</v>
      </c>
      <c r="H35">
        <v>27.75</v>
      </c>
      <c r="I35">
        <v>10.31</v>
      </c>
      <c r="J35">
        <v>2.67</v>
      </c>
      <c r="K35">
        <v>520.77</v>
      </c>
      <c r="L35">
        <v>14.77</v>
      </c>
      <c r="M35">
        <v>32.28</v>
      </c>
      <c r="N35">
        <v>14.08</v>
      </c>
      <c r="O35">
        <v>78.78</v>
      </c>
      <c r="P35">
        <v>16.57</v>
      </c>
      <c r="Q35">
        <v>32.57</v>
      </c>
      <c r="R35">
        <v>3.81</v>
      </c>
      <c r="S35">
        <v>12.89</v>
      </c>
      <c r="T35">
        <v>0.28000000000000003</v>
      </c>
      <c r="U35">
        <v>3.08</v>
      </c>
      <c r="V35">
        <v>2.86</v>
      </c>
      <c r="W35">
        <v>0.53</v>
      </c>
      <c r="X35">
        <v>2.78</v>
      </c>
      <c r="Y35">
        <v>0.44</v>
      </c>
      <c r="Z35">
        <v>1.17</v>
      </c>
      <c r="AA35">
        <v>0.14000000000000001</v>
      </c>
      <c r="AB35">
        <v>0.99</v>
      </c>
      <c r="AC35">
        <v>0.11</v>
      </c>
      <c r="AD35">
        <v>8.9600000000000009</v>
      </c>
      <c r="AE35">
        <v>8.4600000000000009</v>
      </c>
      <c r="AF35">
        <v>14.45</v>
      </c>
      <c r="AG35">
        <v>106.63</v>
      </c>
      <c r="AI35">
        <f t="shared" si="0"/>
        <v>326.87</v>
      </c>
    </row>
    <row r="36" spans="1:35" x14ac:dyDescent="0.25">
      <c r="A36" t="s">
        <v>265</v>
      </c>
      <c r="B36" t="s">
        <v>209</v>
      </c>
      <c r="C36">
        <v>15</v>
      </c>
      <c r="D36">
        <v>40</v>
      </c>
      <c r="E36">
        <v>50</v>
      </c>
      <c r="F36">
        <v>310</v>
      </c>
      <c r="G36" t="s">
        <v>8</v>
      </c>
      <c r="H36">
        <v>62.51</v>
      </c>
      <c r="I36">
        <v>9.0299999999999994</v>
      </c>
      <c r="J36">
        <v>2.75</v>
      </c>
      <c r="K36">
        <v>694.68</v>
      </c>
      <c r="L36">
        <v>7.09</v>
      </c>
      <c r="M36">
        <v>31.42</v>
      </c>
      <c r="N36">
        <v>13.08</v>
      </c>
      <c r="O36">
        <v>186.86</v>
      </c>
      <c r="P36">
        <v>15.82</v>
      </c>
      <c r="Q36">
        <v>32.01</v>
      </c>
      <c r="R36">
        <v>3.68</v>
      </c>
      <c r="S36">
        <v>13.34</v>
      </c>
      <c r="T36">
        <v>0.33</v>
      </c>
      <c r="U36">
        <v>3</v>
      </c>
      <c r="V36">
        <v>2.46</v>
      </c>
      <c r="W36">
        <v>0.34</v>
      </c>
      <c r="X36">
        <v>1.65</v>
      </c>
      <c r="Y36">
        <v>0.22</v>
      </c>
      <c r="Z36">
        <v>0.52</v>
      </c>
      <c r="AA36">
        <v>0.06</v>
      </c>
      <c r="AB36">
        <v>0.4</v>
      </c>
      <c r="AC36">
        <v>0.04</v>
      </c>
      <c r="AD36">
        <v>295.45</v>
      </c>
      <c r="AE36">
        <v>10.19</v>
      </c>
      <c r="AF36">
        <v>13.56</v>
      </c>
      <c r="AG36">
        <v>12.04</v>
      </c>
      <c r="AI36">
        <f t="shared" si="0"/>
        <v>35.78</v>
      </c>
    </row>
    <row r="37" spans="1:35" x14ac:dyDescent="0.25">
      <c r="A37" t="s">
        <v>265</v>
      </c>
      <c r="B37" t="s">
        <v>210</v>
      </c>
      <c r="C37">
        <v>10</v>
      </c>
      <c r="D37">
        <v>30</v>
      </c>
      <c r="E37">
        <v>30</v>
      </c>
      <c r="F37">
        <v>190</v>
      </c>
      <c r="G37" t="s">
        <v>8</v>
      </c>
      <c r="H37">
        <v>9.08</v>
      </c>
      <c r="I37">
        <v>9.4</v>
      </c>
      <c r="J37">
        <v>3.08</v>
      </c>
      <c r="K37">
        <v>399.03</v>
      </c>
      <c r="L37">
        <v>6.73</v>
      </c>
      <c r="M37">
        <v>25.67</v>
      </c>
      <c r="N37">
        <v>10.24</v>
      </c>
      <c r="O37">
        <v>43.84</v>
      </c>
      <c r="P37">
        <v>2.39</v>
      </c>
      <c r="Q37">
        <v>4.82</v>
      </c>
      <c r="R37">
        <v>0.53</v>
      </c>
      <c r="S37">
        <v>1.86</v>
      </c>
      <c r="T37">
        <v>0.05</v>
      </c>
      <c r="U37">
        <v>0.57999999999999996</v>
      </c>
      <c r="V37">
        <v>0.62</v>
      </c>
      <c r="W37">
        <v>0.14000000000000001</v>
      </c>
      <c r="X37">
        <v>1.05</v>
      </c>
      <c r="Y37">
        <v>0.17</v>
      </c>
      <c r="Z37">
        <v>0.47</v>
      </c>
      <c r="AA37">
        <v>0.06</v>
      </c>
      <c r="AB37">
        <v>0.61</v>
      </c>
      <c r="AC37">
        <v>7.0000000000000007E-2</v>
      </c>
      <c r="AD37">
        <v>10.11</v>
      </c>
      <c r="AE37">
        <v>5.07</v>
      </c>
      <c r="AF37">
        <v>3.06</v>
      </c>
      <c r="AG37">
        <v>3.67</v>
      </c>
      <c r="AI37">
        <f t="shared" si="0"/>
        <v>48.32</v>
      </c>
    </row>
    <row r="38" spans="1:35" x14ac:dyDescent="0.25">
      <c r="A38" t="s">
        <v>265</v>
      </c>
      <c r="B38" t="s">
        <v>211</v>
      </c>
      <c r="C38">
        <v>15</v>
      </c>
      <c r="D38">
        <v>45</v>
      </c>
      <c r="E38">
        <v>60</v>
      </c>
      <c r="F38">
        <v>310</v>
      </c>
      <c r="G38" t="s">
        <v>8</v>
      </c>
      <c r="H38">
        <v>15.22</v>
      </c>
      <c r="I38">
        <v>11.06</v>
      </c>
      <c r="J38">
        <v>3.24</v>
      </c>
      <c r="K38">
        <v>629.58000000000004</v>
      </c>
      <c r="L38">
        <v>14.86</v>
      </c>
      <c r="M38">
        <v>37.130000000000003</v>
      </c>
      <c r="N38">
        <v>15.58</v>
      </c>
      <c r="O38">
        <v>75.569999999999993</v>
      </c>
      <c r="P38">
        <v>22.58</v>
      </c>
      <c r="Q38">
        <v>44.25</v>
      </c>
      <c r="R38">
        <v>5.01</v>
      </c>
      <c r="S38">
        <v>16.97</v>
      </c>
      <c r="T38">
        <v>0.32</v>
      </c>
      <c r="U38">
        <v>3.95</v>
      </c>
      <c r="V38">
        <v>3.56</v>
      </c>
      <c r="W38">
        <v>0.62</v>
      </c>
      <c r="X38">
        <v>3.21</v>
      </c>
      <c r="Y38">
        <v>0.46</v>
      </c>
      <c r="Z38">
        <v>1.0900000000000001</v>
      </c>
      <c r="AA38">
        <v>0.14000000000000001</v>
      </c>
      <c r="AB38">
        <v>0.92</v>
      </c>
      <c r="AC38">
        <v>0.11</v>
      </c>
      <c r="AD38">
        <v>11.19</v>
      </c>
      <c r="AE38">
        <v>9.14</v>
      </c>
      <c r="AF38">
        <v>17.61</v>
      </c>
      <c r="AG38">
        <v>8.9</v>
      </c>
      <c r="AI38">
        <f t="shared" si="0"/>
        <v>66.42</v>
      </c>
    </row>
    <row r="39" spans="1:35" x14ac:dyDescent="0.25">
      <c r="A39" t="s">
        <v>265</v>
      </c>
      <c r="B39" t="s">
        <v>212</v>
      </c>
      <c r="C39">
        <v>15</v>
      </c>
      <c r="D39">
        <v>35</v>
      </c>
      <c r="E39">
        <v>30</v>
      </c>
      <c r="F39">
        <v>75</v>
      </c>
      <c r="G39" t="s">
        <v>8</v>
      </c>
      <c r="H39">
        <v>37.299999999999997</v>
      </c>
      <c r="I39">
        <v>9.3000000000000007</v>
      </c>
      <c r="J39">
        <v>2.94</v>
      </c>
      <c r="K39">
        <v>500.95</v>
      </c>
      <c r="L39">
        <v>6.9</v>
      </c>
      <c r="M39">
        <v>41.32</v>
      </c>
      <c r="N39">
        <v>23.69</v>
      </c>
      <c r="O39">
        <v>45.35</v>
      </c>
      <c r="P39">
        <v>5.23</v>
      </c>
      <c r="Q39">
        <v>9.8000000000000007</v>
      </c>
      <c r="R39">
        <v>1.19</v>
      </c>
      <c r="S39">
        <v>4.4000000000000004</v>
      </c>
      <c r="T39">
        <v>0.15</v>
      </c>
      <c r="U39">
        <v>1.07</v>
      </c>
      <c r="V39">
        <v>1.0900000000000001</v>
      </c>
      <c r="W39">
        <v>0.2</v>
      </c>
      <c r="X39">
        <v>1.1200000000000001</v>
      </c>
      <c r="Y39">
        <v>0.23</v>
      </c>
      <c r="Z39">
        <v>0.43</v>
      </c>
      <c r="AA39">
        <v>0.06</v>
      </c>
      <c r="AB39">
        <v>0.41</v>
      </c>
      <c r="AC39">
        <v>0.04</v>
      </c>
      <c r="AD39">
        <v>25.1</v>
      </c>
      <c r="AE39" t="s">
        <v>37</v>
      </c>
      <c r="AF39">
        <v>5.38</v>
      </c>
      <c r="AG39">
        <v>5.01</v>
      </c>
      <c r="AI39">
        <f t="shared" si="0"/>
        <v>87.51</v>
      </c>
    </row>
    <row r="40" spans="1:35" x14ac:dyDescent="0.25">
      <c r="A40" t="s">
        <v>265</v>
      </c>
      <c r="B40" t="s">
        <v>213</v>
      </c>
      <c r="C40">
        <v>65</v>
      </c>
      <c r="D40">
        <v>25</v>
      </c>
      <c r="E40">
        <v>15</v>
      </c>
      <c r="F40">
        <v>50</v>
      </c>
      <c r="G40">
        <v>2</v>
      </c>
      <c r="H40">
        <v>64.94</v>
      </c>
      <c r="I40">
        <v>10.72</v>
      </c>
      <c r="J40">
        <v>3.23</v>
      </c>
      <c r="K40">
        <v>898.37</v>
      </c>
      <c r="L40">
        <v>0.37</v>
      </c>
      <c r="M40">
        <v>45.31</v>
      </c>
      <c r="N40">
        <v>12.7</v>
      </c>
      <c r="O40">
        <v>39.21</v>
      </c>
      <c r="P40" t="s">
        <v>108</v>
      </c>
      <c r="Q40" t="s">
        <v>8</v>
      </c>
      <c r="R40">
        <v>7.0000000000000007E-2</v>
      </c>
      <c r="S40">
        <v>0.36</v>
      </c>
      <c r="T40" t="s">
        <v>132</v>
      </c>
      <c r="U40">
        <v>0.65</v>
      </c>
      <c r="V40" t="s">
        <v>149</v>
      </c>
      <c r="W40" t="s">
        <v>148</v>
      </c>
      <c r="X40">
        <v>0.05</v>
      </c>
      <c r="Y40" t="s">
        <v>148</v>
      </c>
      <c r="Z40">
        <v>0.01</v>
      </c>
      <c r="AA40" t="s">
        <v>148</v>
      </c>
      <c r="AB40">
        <v>0.04</v>
      </c>
      <c r="AC40" t="s">
        <v>148</v>
      </c>
      <c r="AD40">
        <v>42.2</v>
      </c>
      <c r="AE40">
        <v>5.5</v>
      </c>
      <c r="AF40">
        <v>3.44</v>
      </c>
      <c r="AG40">
        <v>15.71</v>
      </c>
      <c r="AI40">
        <f t="shared" si="0"/>
        <v>34.229999999999997</v>
      </c>
    </row>
    <row r="41" spans="1:35" x14ac:dyDescent="0.25">
      <c r="A41" t="s">
        <v>265</v>
      </c>
      <c r="B41" t="s">
        <v>214</v>
      </c>
      <c r="C41">
        <v>20</v>
      </c>
      <c r="D41">
        <v>40</v>
      </c>
      <c r="E41">
        <v>44</v>
      </c>
      <c r="F41">
        <v>520</v>
      </c>
      <c r="G41" t="s">
        <v>8</v>
      </c>
      <c r="H41">
        <v>9.99</v>
      </c>
      <c r="I41">
        <v>12.15</v>
      </c>
      <c r="J41">
        <v>3.65</v>
      </c>
      <c r="K41">
        <v>694.62</v>
      </c>
      <c r="L41">
        <v>17.440000000000001</v>
      </c>
      <c r="M41">
        <v>28.04</v>
      </c>
      <c r="N41">
        <v>13.38</v>
      </c>
      <c r="O41">
        <v>55.87</v>
      </c>
      <c r="P41">
        <v>40.08</v>
      </c>
      <c r="Q41">
        <v>81.28</v>
      </c>
      <c r="R41">
        <v>9.3800000000000008</v>
      </c>
      <c r="S41">
        <v>33.06</v>
      </c>
      <c r="T41">
        <v>0.81</v>
      </c>
      <c r="U41">
        <v>6.9</v>
      </c>
      <c r="V41">
        <v>5.46</v>
      </c>
      <c r="W41">
        <v>0.81</v>
      </c>
      <c r="X41">
        <v>3.85</v>
      </c>
      <c r="Y41">
        <v>0.59</v>
      </c>
      <c r="Z41">
        <v>1.52</v>
      </c>
      <c r="AA41">
        <v>0.21</v>
      </c>
      <c r="AB41">
        <v>1.1399999999999999</v>
      </c>
      <c r="AC41">
        <v>0.16</v>
      </c>
      <c r="AD41">
        <v>6.19</v>
      </c>
      <c r="AE41">
        <v>8.92</v>
      </c>
      <c r="AF41">
        <v>27.78</v>
      </c>
      <c r="AG41">
        <v>15.56</v>
      </c>
      <c r="AI41">
        <f t="shared" si="0"/>
        <v>65.89</v>
      </c>
    </row>
    <row r="42" spans="1:35" x14ac:dyDescent="0.25">
      <c r="A42" t="s">
        <v>265</v>
      </c>
      <c r="B42" t="s">
        <v>215</v>
      </c>
      <c r="C42">
        <v>10</v>
      </c>
      <c r="D42">
        <v>25</v>
      </c>
      <c r="E42">
        <v>75</v>
      </c>
      <c r="F42">
        <v>350</v>
      </c>
      <c r="G42" t="s">
        <v>8</v>
      </c>
      <c r="H42">
        <v>82.6</v>
      </c>
      <c r="I42">
        <v>11.33</v>
      </c>
      <c r="J42">
        <v>2.92</v>
      </c>
      <c r="K42">
        <v>845.68</v>
      </c>
      <c r="L42">
        <v>14.98</v>
      </c>
      <c r="M42">
        <v>50.11</v>
      </c>
      <c r="N42">
        <v>11.15</v>
      </c>
      <c r="O42">
        <v>64.900000000000006</v>
      </c>
      <c r="P42">
        <v>19.239999999999998</v>
      </c>
      <c r="Q42">
        <v>38.51</v>
      </c>
      <c r="R42">
        <v>4.38</v>
      </c>
      <c r="S42">
        <v>15.27</v>
      </c>
      <c r="T42">
        <v>0.35</v>
      </c>
      <c r="U42">
        <v>3.09</v>
      </c>
      <c r="V42">
        <v>2.88</v>
      </c>
      <c r="W42">
        <v>0.46</v>
      </c>
      <c r="X42">
        <v>2.77</v>
      </c>
      <c r="Y42">
        <v>0.51</v>
      </c>
      <c r="Z42">
        <v>1.53</v>
      </c>
      <c r="AA42">
        <v>0.23</v>
      </c>
      <c r="AB42">
        <v>1.55</v>
      </c>
      <c r="AC42">
        <v>0.21</v>
      </c>
      <c r="AD42">
        <v>15.78</v>
      </c>
      <c r="AE42">
        <v>7.2</v>
      </c>
      <c r="AF42">
        <v>12.75</v>
      </c>
      <c r="AG42">
        <v>3.66</v>
      </c>
      <c r="AI42">
        <f t="shared" si="0"/>
        <v>104.80000000000001</v>
      </c>
    </row>
    <row r="43" spans="1:35" x14ac:dyDescent="0.25">
      <c r="A43" t="s">
        <v>265</v>
      </c>
      <c r="B43" t="s">
        <v>216</v>
      </c>
      <c r="C43">
        <v>25</v>
      </c>
      <c r="D43">
        <v>15</v>
      </c>
      <c r="E43">
        <v>25</v>
      </c>
      <c r="F43">
        <v>160</v>
      </c>
      <c r="G43" t="s">
        <v>8</v>
      </c>
      <c r="H43">
        <v>18.239999999999998</v>
      </c>
      <c r="I43">
        <v>11.8</v>
      </c>
      <c r="J43">
        <v>3.53</v>
      </c>
      <c r="K43">
        <v>1421.7</v>
      </c>
      <c r="L43">
        <v>13.26</v>
      </c>
      <c r="M43">
        <v>55.1</v>
      </c>
      <c r="N43">
        <v>11.8</v>
      </c>
      <c r="O43">
        <v>48.84</v>
      </c>
      <c r="P43">
        <v>14.36</v>
      </c>
      <c r="Q43">
        <v>28.03</v>
      </c>
      <c r="R43">
        <v>3.29</v>
      </c>
      <c r="S43">
        <v>12.77</v>
      </c>
      <c r="T43">
        <v>0.24</v>
      </c>
      <c r="U43">
        <v>2.7</v>
      </c>
      <c r="V43">
        <v>2.57</v>
      </c>
      <c r="W43">
        <v>0.45</v>
      </c>
      <c r="X43">
        <v>2.6</v>
      </c>
      <c r="Y43">
        <v>0.48</v>
      </c>
      <c r="Z43">
        <v>1.27</v>
      </c>
      <c r="AA43">
        <v>0.16</v>
      </c>
      <c r="AB43">
        <v>1.05</v>
      </c>
      <c r="AC43">
        <v>0.13</v>
      </c>
      <c r="AD43">
        <v>49.7</v>
      </c>
      <c r="AE43">
        <v>10.64</v>
      </c>
      <c r="AF43">
        <v>9.86</v>
      </c>
      <c r="AG43">
        <v>6.45</v>
      </c>
      <c r="AI43">
        <f t="shared" si="0"/>
        <v>30.01</v>
      </c>
    </row>
    <row r="44" spans="1:35" x14ac:dyDescent="0.25">
      <c r="A44" t="s">
        <v>265</v>
      </c>
      <c r="B44" t="s">
        <v>217</v>
      </c>
      <c r="C44">
        <v>20</v>
      </c>
      <c r="D44">
        <v>40</v>
      </c>
      <c r="E44">
        <v>60</v>
      </c>
      <c r="F44">
        <v>310</v>
      </c>
      <c r="G44" t="s">
        <v>8</v>
      </c>
      <c r="H44">
        <v>7.82</v>
      </c>
      <c r="I44">
        <v>10.25</v>
      </c>
      <c r="J44">
        <v>4.6399999999999997</v>
      </c>
      <c r="K44">
        <v>455.83</v>
      </c>
      <c r="L44">
        <v>14.1</v>
      </c>
      <c r="M44">
        <v>25.1</v>
      </c>
      <c r="N44">
        <v>10.69</v>
      </c>
      <c r="O44">
        <v>38.57</v>
      </c>
      <c r="P44">
        <v>43.85</v>
      </c>
      <c r="Q44">
        <v>89.47</v>
      </c>
      <c r="R44">
        <v>10.53</v>
      </c>
      <c r="S44">
        <v>36.46</v>
      </c>
      <c r="T44">
        <v>0.89</v>
      </c>
      <c r="U44">
        <v>7.31</v>
      </c>
      <c r="V44">
        <v>5.73</v>
      </c>
      <c r="W44">
        <v>0.72</v>
      </c>
      <c r="X44">
        <v>3.28</v>
      </c>
      <c r="Y44">
        <v>0.49</v>
      </c>
      <c r="Z44">
        <v>1.27</v>
      </c>
      <c r="AA44">
        <v>0.17</v>
      </c>
      <c r="AB44">
        <v>1.05</v>
      </c>
      <c r="AC44">
        <v>0.14000000000000001</v>
      </c>
      <c r="AD44">
        <v>4.91</v>
      </c>
      <c r="AE44">
        <v>5</v>
      </c>
      <c r="AF44">
        <v>31.73</v>
      </c>
      <c r="AG44">
        <v>8.1</v>
      </c>
      <c r="AI44">
        <f t="shared" si="0"/>
        <v>35.69</v>
      </c>
    </row>
    <row r="45" spans="1:35" x14ac:dyDescent="0.25">
      <c r="A45" t="s">
        <v>265</v>
      </c>
      <c r="B45" t="s">
        <v>218</v>
      </c>
      <c r="C45">
        <v>15</v>
      </c>
      <c r="D45">
        <v>40</v>
      </c>
      <c r="E45">
        <v>55</v>
      </c>
      <c r="F45">
        <v>220</v>
      </c>
      <c r="G45" t="s">
        <v>8</v>
      </c>
      <c r="H45">
        <v>12.99</v>
      </c>
      <c r="I45">
        <v>10.44</v>
      </c>
      <c r="J45">
        <v>3.43</v>
      </c>
      <c r="K45">
        <v>502.1</v>
      </c>
      <c r="L45">
        <v>12.57</v>
      </c>
      <c r="M45">
        <v>28.62</v>
      </c>
      <c r="N45">
        <v>11.95</v>
      </c>
      <c r="O45">
        <v>47.72</v>
      </c>
      <c r="P45">
        <v>44.11</v>
      </c>
      <c r="Q45">
        <v>90.92</v>
      </c>
      <c r="R45">
        <v>10.49</v>
      </c>
      <c r="S45">
        <v>37.08</v>
      </c>
      <c r="T45">
        <v>0.81</v>
      </c>
      <c r="U45">
        <v>7.35</v>
      </c>
      <c r="V45">
        <v>5.4</v>
      </c>
      <c r="W45">
        <v>0.7</v>
      </c>
      <c r="X45">
        <v>2.89</v>
      </c>
      <c r="Y45">
        <v>0.41</v>
      </c>
      <c r="Z45">
        <v>1.05</v>
      </c>
      <c r="AA45">
        <v>0.14000000000000001</v>
      </c>
      <c r="AB45">
        <v>0.85</v>
      </c>
      <c r="AC45">
        <v>0.11</v>
      </c>
      <c r="AD45">
        <v>7.07</v>
      </c>
      <c r="AE45">
        <v>6.97</v>
      </c>
      <c r="AF45">
        <v>32.71</v>
      </c>
      <c r="AG45">
        <v>7.7</v>
      </c>
      <c r="AI45">
        <f t="shared" si="0"/>
        <v>17.62</v>
      </c>
    </row>
    <row r="46" spans="1:35" x14ac:dyDescent="0.25">
      <c r="A46" t="s">
        <v>265</v>
      </c>
      <c r="B46" t="s">
        <v>219</v>
      </c>
      <c r="C46">
        <v>10</v>
      </c>
      <c r="D46">
        <v>10</v>
      </c>
      <c r="E46">
        <v>340</v>
      </c>
      <c r="F46">
        <v>840</v>
      </c>
      <c r="G46" t="s">
        <v>8</v>
      </c>
      <c r="H46">
        <v>145.77000000000001</v>
      </c>
      <c r="I46">
        <v>11.57</v>
      </c>
      <c r="J46">
        <v>3.22</v>
      </c>
      <c r="K46">
        <v>816.93</v>
      </c>
      <c r="L46">
        <v>4.7699999999999996</v>
      </c>
      <c r="M46">
        <v>14.13</v>
      </c>
      <c r="N46">
        <v>21.8</v>
      </c>
      <c r="O46">
        <v>220.47</v>
      </c>
      <c r="P46">
        <v>10.72</v>
      </c>
      <c r="Q46">
        <v>21.68</v>
      </c>
      <c r="R46">
        <v>2.56</v>
      </c>
      <c r="S46">
        <v>9.5500000000000007</v>
      </c>
      <c r="T46">
        <v>0.3</v>
      </c>
      <c r="U46">
        <v>1.7</v>
      </c>
      <c r="V46">
        <v>1.44</v>
      </c>
      <c r="W46">
        <v>0.2</v>
      </c>
      <c r="X46">
        <v>1.08</v>
      </c>
      <c r="Y46">
        <v>0.18</v>
      </c>
      <c r="Z46">
        <v>0.53</v>
      </c>
      <c r="AA46">
        <v>7.0000000000000007E-2</v>
      </c>
      <c r="AB46">
        <v>0.56000000000000005</v>
      </c>
      <c r="AC46">
        <v>0.08</v>
      </c>
      <c r="AD46">
        <v>3.49</v>
      </c>
      <c r="AE46">
        <v>24.6</v>
      </c>
      <c r="AF46">
        <v>4.16</v>
      </c>
      <c r="AG46">
        <v>1.8</v>
      </c>
      <c r="AI46">
        <f t="shared" si="0"/>
        <v>40.950000000000003</v>
      </c>
    </row>
    <row r="47" spans="1:35" x14ac:dyDescent="0.25">
      <c r="A47" t="s">
        <v>265</v>
      </c>
      <c r="B47" t="s">
        <v>220</v>
      </c>
      <c r="C47">
        <v>10</v>
      </c>
      <c r="D47">
        <v>50</v>
      </c>
      <c r="E47">
        <v>15</v>
      </c>
      <c r="F47">
        <v>10</v>
      </c>
      <c r="G47" t="s">
        <v>8</v>
      </c>
      <c r="H47">
        <v>7.57</v>
      </c>
      <c r="I47">
        <v>10.47</v>
      </c>
      <c r="J47">
        <v>2.87</v>
      </c>
      <c r="K47">
        <v>438.83</v>
      </c>
      <c r="L47">
        <v>28.16</v>
      </c>
      <c r="M47">
        <v>28.94</v>
      </c>
      <c r="N47">
        <v>8.4</v>
      </c>
      <c r="O47">
        <v>23.5</v>
      </c>
      <c r="P47">
        <v>10.71</v>
      </c>
      <c r="Q47">
        <v>21.87</v>
      </c>
      <c r="R47">
        <v>2.48</v>
      </c>
      <c r="S47">
        <v>8.5299999999999994</v>
      </c>
      <c r="T47">
        <v>0.22</v>
      </c>
      <c r="U47">
        <v>2.52</v>
      </c>
      <c r="V47">
        <v>2.77</v>
      </c>
      <c r="W47">
        <v>0.7</v>
      </c>
      <c r="X47">
        <v>4.54</v>
      </c>
      <c r="Y47">
        <v>0.88</v>
      </c>
      <c r="Z47">
        <v>2.67</v>
      </c>
      <c r="AA47">
        <v>0.47</v>
      </c>
      <c r="AB47">
        <v>2.96</v>
      </c>
      <c r="AC47">
        <v>0.43</v>
      </c>
      <c r="AD47">
        <v>12.01</v>
      </c>
      <c r="AE47" t="s">
        <v>37</v>
      </c>
      <c r="AF47">
        <v>12.47</v>
      </c>
      <c r="AG47">
        <v>12.47</v>
      </c>
      <c r="AI47">
        <f t="shared" si="0"/>
        <v>29.3</v>
      </c>
    </row>
    <row r="48" spans="1:35" x14ac:dyDescent="0.25">
      <c r="A48" t="s">
        <v>265</v>
      </c>
      <c r="B48" t="s">
        <v>221</v>
      </c>
      <c r="C48">
        <v>10</v>
      </c>
      <c r="D48">
        <v>35</v>
      </c>
      <c r="E48">
        <v>105</v>
      </c>
      <c r="F48">
        <v>45</v>
      </c>
      <c r="G48">
        <v>2</v>
      </c>
      <c r="H48">
        <v>4.5199999999999996</v>
      </c>
      <c r="I48">
        <v>11.26</v>
      </c>
      <c r="J48">
        <v>4.7699999999999996</v>
      </c>
      <c r="K48">
        <v>154.72999999999999</v>
      </c>
      <c r="L48">
        <v>34.99</v>
      </c>
      <c r="M48">
        <v>25.95</v>
      </c>
      <c r="N48">
        <v>8.0500000000000007</v>
      </c>
      <c r="O48">
        <v>11.97</v>
      </c>
      <c r="P48">
        <v>45.39</v>
      </c>
      <c r="Q48">
        <v>90.81</v>
      </c>
      <c r="R48">
        <v>11.71</v>
      </c>
      <c r="S48">
        <v>45.51</v>
      </c>
      <c r="T48">
        <v>2.23</v>
      </c>
      <c r="U48">
        <v>8.8800000000000008</v>
      </c>
      <c r="V48">
        <v>8.14</v>
      </c>
      <c r="W48">
        <v>1.28</v>
      </c>
      <c r="X48">
        <v>6.78</v>
      </c>
      <c r="Y48">
        <v>1.28</v>
      </c>
      <c r="Z48">
        <v>3.53</v>
      </c>
      <c r="AA48">
        <v>0.54</v>
      </c>
      <c r="AB48">
        <v>3.29</v>
      </c>
      <c r="AC48">
        <v>0.48</v>
      </c>
      <c r="AD48">
        <v>3.35</v>
      </c>
      <c r="AE48">
        <v>5.57</v>
      </c>
      <c r="AF48">
        <v>12.83</v>
      </c>
      <c r="AG48">
        <v>8</v>
      </c>
      <c r="AI48">
        <f t="shared" si="0"/>
        <v>163.01999999999998</v>
      </c>
    </row>
    <row r="49" spans="1:35" x14ac:dyDescent="0.25">
      <c r="A49" t="s">
        <v>265</v>
      </c>
      <c r="B49" t="s">
        <v>222</v>
      </c>
      <c r="C49" t="s">
        <v>7</v>
      </c>
      <c r="D49">
        <v>25</v>
      </c>
      <c r="E49" t="s">
        <v>7</v>
      </c>
      <c r="F49">
        <v>5</v>
      </c>
      <c r="G49" t="s">
        <v>8</v>
      </c>
      <c r="H49">
        <v>137.06</v>
      </c>
      <c r="I49">
        <v>9.39</v>
      </c>
      <c r="J49">
        <v>3.4</v>
      </c>
      <c r="K49">
        <v>526.85</v>
      </c>
      <c r="L49">
        <v>1.76</v>
      </c>
      <c r="M49">
        <v>53.17</v>
      </c>
      <c r="N49">
        <v>8.5500000000000007</v>
      </c>
      <c r="O49">
        <v>28.4</v>
      </c>
      <c r="P49">
        <v>1.54</v>
      </c>
      <c r="Q49">
        <v>2.44</v>
      </c>
      <c r="R49">
        <v>0.28999999999999998</v>
      </c>
      <c r="S49">
        <v>1.33</v>
      </c>
      <c r="T49">
        <v>0.08</v>
      </c>
      <c r="U49">
        <v>0.24</v>
      </c>
      <c r="V49">
        <v>0.23</v>
      </c>
      <c r="W49">
        <v>0.03</v>
      </c>
      <c r="X49">
        <v>0.25</v>
      </c>
      <c r="Y49">
        <v>0.05</v>
      </c>
      <c r="Z49">
        <v>0.14000000000000001</v>
      </c>
      <c r="AA49" t="s">
        <v>148</v>
      </c>
      <c r="AB49">
        <v>0.16</v>
      </c>
      <c r="AC49" t="s">
        <v>148</v>
      </c>
      <c r="AD49">
        <v>109.85</v>
      </c>
      <c r="AE49" t="s">
        <v>37</v>
      </c>
      <c r="AF49">
        <v>6.84</v>
      </c>
      <c r="AG49">
        <v>2.2999999999999998</v>
      </c>
      <c r="AI49">
        <f t="shared" si="0"/>
        <v>78.349999999999994</v>
      </c>
    </row>
    <row r="50" spans="1:35" x14ac:dyDescent="0.25">
      <c r="A50" t="s">
        <v>265</v>
      </c>
      <c r="B50" t="s">
        <v>223</v>
      </c>
      <c r="C50" t="s">
        <v>7</v>
      </c>
      <c r="D50">
        <v>30</v>
      </c>
      <c r="E50" t="s">
        <v>7</v>
      </c>
      <c r="F50">
        <v>5</v>
      </c>
      <c r="G50" t="s">
        <v>8</v>
      </c>
      <c r="H50">
        <v>14.31</v>
      </c>
      <c r="I50">
        <v>9.57</v>
      </c>
      <c r="J50">
        <v>3.67</v>
      </c>
      <c r="K50">
        <v>188.41</v>
      </c>
      <c r="L50">
        <v>23.54</v>
      </c>
      <c r="M50">
        <v>25.58</v>
      </c>
      <c r="N50">
        <v>7.55</v>
      </c>
      <c r="O50">
        <v>12.02</v>
      </c>
      <c r="P50">
        <v>6.09</v>
      </c>
      <c r="Q50">
        <v>9.67</v>
      </c>
      <c r="R50">
        <v>1.5</v>
      </c>
      <c r="S50">
        <v>5.81</v>
      </c>
      <c r="T50">
        <v>0.96</v>
      </c>
      <c r="U50">
        <v>1.84</v>
      </c>
      <c r="V50">
        <v>1.8</v>
      </c>
      <c r="W50">
        <v>0.48</v>
      </c>
      <c r="X50">
        <v>3.63</v>
      </c>
      <c r="Y50">
        <v>0.77</v>
      </c>
      <c r="Z50">
        <v>2.73</v>
      </c>
      <c r="AA50">
        <v>0.61</v>
      </c>
      <c r="AB50">
        <v>5.31</v>
      </c>
      <c r="AC50">
        <v>0.88</v>
      </c>
      <c r="AD50">
        <v>52.77</v>
      </c>
      <c r="AE50">
        <v>5</v>
      </c>
      <c r="AF50">
        <v>12.07</v>
      </c>
      <c r="AG50">
        <v>14.93</v>
      </c>
      <c r="AI50">
        <f t="shared" si="0"/>
        <v>30.47</v>
      </c>
    </row>
    <row r="51" spans="1:35" x14ac:dyDescent="0.25">
      <c r="A51" t="s">
        <v>265</v>
      </c>
      <c r="B51" t="s">
        <v>224</v>
      </c>
      <c r="C51">
        <v>10</v>
      </c>
      <c r="D51">
        <v>40</v>
      </c>
      <c r="E51">
        <v>15</v>
      </c>
      <c r="F51">
        <v>15</v>
      </c>
      <c r="G51" t="s">
        <v>8</v>
      </c>
      <c r="H51">
        <v>6.28</v>
      </c>
      <c r="I51">
        <v>10.62</v>
      </c>
      <c r="J51">
        <v>16.87</v>
      </c>
      <c r="K51">
        <v>207.21</v>
      </c>
      <c r="L51">
        <v>26.9</v>
      </c>
      <c r="M51">
        <v>26.9</v>
      </c>
      <c r="N51">
        <v>33.299999999999997</v>
      </c>
      <c r="O51">
        <v>8.9</v>
      </c>
      <c r="P51">
        <v>10.47</v>
      </c>
      <c r="Q51">
        <v>19.86</v>
      </c>
      <c r="R51">
        <v>2.17</v>
      </c>
      <c r="S51">
        <v>7.31</v>
      </c>
      <c r="T51">
        <v>0.44</v>
      </c>
      <c r="U51">
        <v>8.1300000000000008</v>
      </c>
      <c r="V51">
        <v>2.17</v>
      </c>
      <c r="W51">
        <v>0.56000000000000005</v>
      </c>
      <c r="X51">
        <v>4.0999999999999996</v>
      </c>
      <c r="Y51">
        <v>0.83</v>
      </c>
      <c r="Z51">
        <v>2.52</v>
      </c>
      <c r="AA51">
        <v>0.44</v>
      </c>
      <c r="AB51">
        <v>2.78</v>
      </c>
      <c r="AC51">
        <v>0.38</v>
      </c>
      <c r="AD51">
        <v>3.57</v>
      </c>
      <c r="AE51" t="s">
        <v>37</v>
      </c>
      <c r="AF51">
        <v>7.04</v>
      </c>
      <c r="AG51">
        <v>5.19</v>
      </c>
      <c r="AI51">
        <f t="shared" si="0"/>
        <v>11.19</v>
      </c>
    </row>
    <row r="52" spans="1:35" x14ac:dyDescent="0.25">
      <c r="A52" t="s">
        <v>265</v>
      </c>
      <c r="B52" t="s">
        <v>225</v>
      </c>
      <c r="C52">
        <v>10</v>
      </c>
      <c r="D52">
        <v>10</v>
      </c>
      <c r="E52">
        <v>25</v>
      </c>
      <c r="F52">
        <v>30</v>
      </c>
      <c r="G52" t="s">
        <v>8</v>
      </c>
      <c r="H52">
        <v>1.76</v>
      </c>
      <c r="I52">
        <v>9.5299999999999994</v>
      </c>
      <c r="J52">
        <v>3.71</v>
      </c>
      <c r="K52">
        <v>141.44</v>
      </c>
      <c r="L52">
        <v>7.5</v>
      </c>
      <c r="M52">
        <v>10.58</v>
      </c>
      <c r="N52">
        <v>7.7</v>
      </c>
      <c r="O52">
        <v>5.74</v>
      </c>
      <c r="P52">
        <v>45.26</v>
      </c>
      <c r="Q52">
        <v>68.989999999999995</v>
      </c>
      <c r="R52">
        <v>7.76</v>
      </c>
      <c r="S52">
        <v>24.96</v>
      </c>
      <c r="T52">
        <v>1.06</v>
      </c>
      <c r="U52">
        <v>4.18</v>
      </c>
      <c r="V52">
        <v>2.58</v>
      </c>
      <c r="W52">
        <v>0.28999999999999998</v>
      </c>
      <c r="X52">
        <v>1.41</v>
      </c>
      <c r="Y52">
        <v>0.26</v>
      </c>
      <c r="Z52">
        <v>0.73</v>
      </c>
      <c r="AA52">
        <v>0.11</v>
      </c>
      <c r="AB52">
        <v>0.83</v>
      </c>
      <c r="AC52">
        <v>0.13</v>
      </c>
      <c r="AD52">
        <v>0.61</v>
      </c>
      <c r="AE52" t="s">
        <v>37</v>
      </c>
      <c r="AF52">
        <v>14.11</v>
      </c>
      <c r="AG52">
        <v>2.15</v>
      </c>
      <c r="AI52">
        <f t="shared" si="0"/>
        <v>0</v>
      </c>
    </row>
  </sheetData>
  <conditionalFormatting sqref="AI2:AI52">
    <cfRule type="cellIs" dxfId="1" priority="1" operator="greaterThan">
      <formula>100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2"/>
  <sheetViews>
    <sheetView topLeftCell="T1" workbookViewId="0">
      <selection activeCell="U1" sqref="U1:U1048576"/>
    </sheetView>
  </sheetViews>
  <sheetFormatPr defaultRowHeight="15" x14ac:dyDescent="0.25"/>
  <cols>
    <col min="1" max="1" width="15.28515625" customWidth="1"/>
    <col min="2" max="2" width="12.7109375" customWidth="1"/>
  </cols>
  <sheetData>
    <row r="1" spans="1:41" x14ac:dyDescent="0.25">
      <c r="A1" t="s">
        <v>261</v>
      </c>
      <c r="B1" s="2" t="s">
        <v>113</v>
      </c>
      <c r="C1" t="s">
        <v>201</v>
      </c>
      <c r="D1" t="s">
        <v>199</v>
      </c>
      <c r="E1" t="s">
        <v>200</v>
      </c>
      <c r="F1" t="s">
        <v>226</v>
      </c>
      <c r="G1" t="s">
        <v>227</v>
      </c>
      <c r="H1" t="s">
        <v>228</v>
      </c>
      <c r="I1" t="s">
        <v>78</v>
      </c>
      <c r="J1" t="s">
        <v>76</v>
      </c>
      <c r="K1" t="s">
        <v>15</v>
      </c>
      <c r="L1" t="s">
        <v>77</v>
      </c>
      <c r="M1" t="s">
        <v>9</v>
      </c>
      <c r="N1" t="s">
        <v>10</v>
      </c>
      <c r="O1" t="s">
        <v>52</v>
      </c>
      <c r="P1" t="s">
        <v>53</v>
      </c>
      <c r="Q1" t="s">
        <v>54</v>
      </c>
      <c r="R1" t="s">
        <v>12</v>
      </c>
      <c r="S1" t="s">
        <v>55</v>
      </c>
      <c r="T1" t="s">
        <v>13</v>
      </c>
      <c r="U1" t="s">
        <v>14</v>
      </c>
      <c r="V1" t="s">
        <v>16</v>
      </c>
      <c r="W1" t="s">
        <v>56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</row>
    <row r="2" spans="1:41" x14ac:dyDescent="0.25"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  <c r="AE2" t="s">
        <v>35</v>
      </c>
      <c r="AF2" t="s">
        <v>35</v>
      </c>
      <c r="AG2" t="s">
        <v>35</v>
      </c>
      <c r="AH2" t="s">
        <v>35</v>
      </c>
      <c r="AI2" t="s">
        <v>35</v>
      </c>
      <c r="AJ2" t="s">
        <v>35</v>
      </c>
      <c r="AK2" t="s">
        <v>35</v>
      </c>
      <c r="AL2" t="s">
        <v>35</v>
      </c>
      <c r="AM2" t="s">
        <v>35</v>
      </c>
      <c r="AN2" t="s">
        <v>35</v>
      </c>
      <c r="AO2" t="s">
        <v>35</v>
      </c>
    </row>
    <row r="3" spans="1:41" x14ac:dyDescent="0.25">
      <c r="A3" t="s">
        <v>267</v>
      </c>
      <c r="B3" t="s">
        <v>114</v>
      </c>
      <c r="C3">
        <v>25</v>
      </c>
      <c r="D3">
        <v>10</v>
      </c>
      <c r="E3">
        <v>65</v>
      </c>
      <c r="F3">
        <v>80</v>
      </c>
      <c r="G3">
        <v>25</v>
      </c>
      <c r="H3">
        <v>235</v>
      </c>
      <c r="I3">
        <v>74.64</v>
      </c>
      <c r="J3">
        <v>2.95</v>
      </c>
      <c r="K3">
        <v>3.51</v>
      </c>
      <c r="L3">
        <v>0.92</v>
      </c>
      <c r="M3">
        <v>9.39</v>
      </c>
      <c r="N3">
        <v>14.66</v>
      </c>
      <c r="O3">
        <v>125.9</v>
      </c>
      <c r="P3">
        <v>19.39</v>
      </c>
      <c r="Q3">
        <v>2.21</v>
      </c>
      <c r="R3">
        <v>132.77000000000001</v>
      </c>
      <c r="S3">
        <v>102.53</v>
      </c>
      <c r="T3">
        <v>30.01</v>
      </c>
      <c r="U3">
        <v>20.65</v>
      </c>
      <c r="V3">
        <v>17.7</v>
      </c>
      <c r="W3">
        <v>414.87</v>
      </c>
      <c r="X3">
        <v>26.23</v>
      </c>
      <c r="Y3">
        <v>48.62</v>
      </c>
      <c r="Z3">
        <v>5.84</v>
      </c>
      <c r="AA3">
        <v>22.77</v>
      </c>
      <c r="AB3">
        <v>1.07</v>
      </c>
      <c r="AC3">
        <v>4.92</v>
      </c>
      <c r="AD3">
        <v>4.6500000000000004</v>
      </c>
      <c r="AE3">
        <v>0.83</v>
      </c>
      <c r="AF3">
        <v>5.13</v>
      </c>
      <c r="AG3">
        <v>1.04</v>
      </c>
      <c r="AH3">
        <v>3.16</v>
      </c>
      <c r="AI3">
        <v>0.55000000000000004</v>
      </c>
      <c r="AJ3">
        <v>3.84</v>
      </c>
      <c r="AK3">
        <v>0.63</v>
      </c>
      <c r="AL3">
        <v>3.48</v>
      </c>
      <c r="AM3">
        <v>13.31</v>
      </c>
      <c r="AN3">
        <v>29.96</v>
      </c>
      <c r="AO3">
        <v>4.03</v>
      </c>
    </row>
    <row r="4" spans="1:41" x14ac:dyDescent="0.25">
      <c r="A4" t="s">
        <v>267</v>
      </c>
      <c r="B4" t="s">
        <v>115</v>
      </c>
      <c r="C4">
        <v>10</v>
      </c>
      <c r="D4">
        <v>20</v>
      </c>
      <c r="E4">
        <v>50</v>
      </c>
      <c r="F4">
        <v>25</v>
      </c>
      <c r="G4" t="s">
        <v>7</v>
      </c>
      <c r="H4">
        <v>45</v>
      </c>
      <c r="I4">
        <v>36.15</v>
      </c>
      <c r="J4">
        <v>0.47</v>
      </c>
      <c r="K4">
        <v>3.82</v>
      </c>
      <c r="L4">
        <v>0.74</v>
      </c>
      <c r="M4">
        <v>3.53</v>
      </c>
      <c r="N4">
        <v>12.11</v>
      </c>
      <c r="O4">
        <v>38.51</v>
      </c>
      <c r="P4">
        <v>24.69</v>
      </c>
      <c r="Q4">
        <v>1.73</v>
      </c>
      <c r="R4">
        <v>132.53</v>
      </c>
      <c r="S4">
        <v>96.7</v>
      </c>
      <c r="T4">
        <v>48.9</v>
      </c>
      <c r="U4">
        <v>19.510000000000002</v>
      </c>
      <c r="V4">
        <v>7.88</v>
      </c>
      <c r="W4">
        <v>1235.81</v>
      </c>
      <c r="X4">
        <v>77.36</v>
      </c>
      <c r="Y4">
        <v>139.09</v>
      </c>
      <c r="Z4">
        <v>16.03</v>
      </c>
      <c r="AA4">
        <v>58.59</v>
      </c>
      <c r="AB4">
        <v>2.21</v>
      </c>
      <c r="AC4">
        <v>10.65</v>
      </c>
      <c r="AD4">
        <v>9.76</v>
      </c>
      <c r="AE4">
        <v>1.53</v>
      </c>
      <c r="AF4">
        <v>8.86</v>
      </c>
      <c r="AG4">
        <v>1.71</v>
      </c>
      <c r="AH4">
        <v>5.19</v>
      </c>
      <c r="AI4">
        <v>0.82</v>
      </c>
      <c r="AJ4">
        <v>5.39</v>
      </c>
      <c r="AK4">
        <v>0.86</v>
      </c>
      <c r="AL4">
        <v>1.57</v>
      </c>
      <c r="AM4">
        <v>3.12</v>
      </c>
      <c r="AN4">
        <v>30.24</v>
      </c>
      <c r="AO4">
        <v>4.34</v>
      </c>
    </row>
    <row r="5" spans="1:41" x14ac:dyDescent="0.25">
      <c r="A5" t="s">
        <v>267</v>
      </c>
      <c r="B5" t="s">
        <v>116</v>
      </c>
      <c r="C5">
        <v>20</v>
      </c>
      <c r="D5">
        <v>35</v>
      </c>
      <c r="E5">
        <v>80</v>
      </c>
      <c r="F5">
        <v>30</v>
      </c>
      <c r="G5" t="s">
        <v>7</v>
      </c>
      <c r="H5">
        <v>100</v>
      </c>
      <c r="I5">
        <v>148.33000000000001</v>
      </c>
      <c r="J5">
        <v>2.82</v>
      </c>
      <c r="K5">
        <v>5.7</v>
      </c>
      <c r="L5">
        <v>1.96</v>
      </c>
      <c r="M5">
        <v>7.88</v>
      </c>
      <c r="N5">
        <v>9.8800000000000008</v>
      </c>
      <c r="O5">
        <v>44.81</v>
      </c>
      <c r="P5">
        <v>26.71</v>
      </c>
      <c r="Q5">
        <v>1.92</v>
      </c>
      <c r="R5">
        <v>324.10000000000002</v>
      </c>
      <c r="S5">
        <v>42.67</v>
      </c>
      <c r="T5">
        <v>26.23</v>
      </c>
      <c r="U5">
        <v>33.340000000000003</v>
      </c>
      <c r="V5">
        <v>52.86</v>
      </c>
      <c r="W5">
        <v>292.24</v>
      </c>
      <c r="X5">
        <v>59.37</v>
      </c>
      <c r="Y5">
        <v>118.79</v>
      </c>
      <c r="Z5">
        <v>13.28</v>
      </c>
      <c r="AA5">
        <v>47.63</v>
      </c>
      <c r="AB5">
        <v>1</v>
      </c>
      <c r="AC5">
        <v>9.41</v>
      </c>
      <c r="AD5">
        <v>7.83</v>
      </c>
      <c r="AE5">
        <v>1.1399999999999999</v>
      </c>
      <c r="AF5">
        <v>5.65</v>
      </c>
      <c r="AG5">
        <v>0.91</v>
      </c>
      <c r="AH5">
        <v>2.59</v>
      </c>
      <c r="AI5">
        <v>0.36</v>
      </c>
      <c r="AJ5">
        <v>2.29</v>
      </c>
      <c r="AK5">
        <v>0.34</v>
      </c>
      <c r="AL5">
        <v>5.23</v>
      </c>
      <c r="AM5">
        <v>6.09</v>
      </c>
      <c r="AN5">
        <v>45.74</v>
      </c>
      <c r="AO5">
        <v>14.45</v>
      </c>
    </row>
    <row r="6" spans="1:41" x14ac:dyDescent="0.25">
      <c r="A6" t="s">
        <v>267</v>
      </c>
      <c r="B6" t="s">
        <v>117</v>
      </c>
      <c r="C6">
        <v>30</v>
      </c>
      <c r="D6">
        <v>20</v>
      </c>
      <c r="E6">
        <v>60</v>
      </c>
      <c r="F6">
        <v>45</v>
      </c>
      <c r="G6">
        <v>15</v>
      </c>
      <c r="H6">
        <v>115</v>
      </c>
      <c r="I6">
        <v>134.82</v>
      </c>
      <c r="J6">
        <v>2.83</v>
      </c>
      <c r="K6">
        <v>4.07</v>
      </c>
      <c r="L6">
        <v>2.1800000000000002</v>
      </c>
      <c r="M6">
        <v>9.52</v>
      </c>
      <c r="N6">
        <v>9.66</v>
      </c>
      <c r="O6">
        <v>62.82</v>
      </c>
      <c r="P6">
        <v>26.12</v>
      </c>
      <c r="Q6">
        <v>2.11</v>
      </c>
      <c r="R6">
        <v>353.38</v>
      </c>
      <c r="S6">
        <v>50.8</v>
      </c>
      <c r="T6">
        <v>40.43</v>
      </c>
      <c r="U6">
        <v>31.35</v>
      </c>
      <c r="V6">
        <v>46.04</v>
      </c>
      <c r="W6">
        <v>379.12</v>
      </c>
      <c r="X6">
        <v>82.19</v>
      </c>
      <c r="Y6">
        <v>173.8</v>
      </c>
      <c r="Z6">
        <v>19.04</v>
      </c>
      <c r="AA6">
        <v>70.97</v>
      </c>
      <c r="AB6">
        <v>1.66</v>
      </c>
      <c r="AC6">
        <v>13.83</v>
      </c>
      <c r="AD6">
        <v>11.49</v>
      </c>
      <c r="AE6">
        <v>1.8</v>
      </c>
      <c r="AF6">
        <v>8.6</v>
      </c>
      <c r="AG6">
        <v>1.38</v>
      </c>
      <c r="AH6">
        <v>3.94</v>
      </c>
      <c r="AI6">
        <v>0.54</v>
      </c>
      <c r="AJ6">
        <v>3.18</v>
      </c>
      <c r="AK6">
        <v>0.48</v>
      </c>
      <c r="AL6">
        <v>6.38</v>
      </c>
      <c r="AM6">
        <v>5.71</v>
      </c>
      <c r="AN6">
        <v>54.01</v>
      </c>
      <c r="AO6">
        <v>13.22</v>
      </c>
    </row>
    <row r="7" spans="1:41" x14ac:dyDescent="0.25">
      <c r="A7" t="s">
        <v>277</v>
      </c>
      <c r="B7" t="s">
        <v>244</v>
      </c>
      <c r="C7">
        <v>20</v>
      </c>
      <c r="D7">
        <v>40</v>
      </c>
      <c r="E7">
        <v>60</v>
      </c>
      <c r="F7">
        <v>30</v>
      </c>
      <c r="G7" t="s">
        <v>7</v>
      </c>
      <c r="H7">
        <v>85</v>
      </c>
      <c r="I7">
        <v>180.15</v>
      </c>
      <c r="J7">
        <v>2.42</v>
      </c>
      <c r="K7">
        <v>1.81</v>
      </c>
      <c r="L7">
        <v>2.69</v>
      </c>
      <c r="M7">
        <v>6.59</v>
      </c>
      <c r="N7">
        <v>8.82</v>
      </c>
      <c r="O7">
        <v>63.46</v>
      </c>
      <c r="P7">
        <v>21.22</v>
      </c>
      <c r="Q7">
        <v>2.0499999999999998</v>
      </c>
      <c r="R7">
        <v>425.89</v>
      </c>
      <c r="S7">
        <v>41.86</v>
      </c>
      <c r="T7">
        <v>27.12</v>
      </c>
      <c r="U7">
        <v>47.42</v>
      </c>
      <c r="V7">
        <v>40.19</v>
      </c>
      <c r="W7">
        <v>326.32</v>
      </c>
      <c r="X7">
        <v>90.95</v>
      </c>
      <c r="Y7">
        <v>183.01</v>
      </c>
      <c r="Z7">
        <v>20.72</v>
      </c>
      <c r="AA7">
        <v>74.37</v>
      </c>
      <c r="AB7">
        <v>1.48</v>
      </c>
      <c r="AC7">
        <v>13.56</v>
      </c>
      <c r="AD7">
        <v>10.43</v>
      </c>
      <c r="AE7">
        <v>1.24</v>
      </c>
      <c r="AF7">
        <v>6.07</v>
      </c>
      <c r="AG7">
        <v>0.98</v>
      </c>
      <c r="AH7">
        <v>2.64</v>
      </c>
      <c r="AI7">
        <v>0.39</v>
      </c>
      <c r="AJ7">
        <v>2.61</v>
      </c>
      <c r="AK7">
        <v>0.39</v>
      </c>
      <c r="AL7">
        <v>22.1</v>
      </c>
      <c r="AM7" t="s">
        <v>37</v>
      </c>
      <c r="AN7">
        <v>58.98</v>
      </c>
      <c r="AO7">
        <v>6.39</v>
      </c>
    </row>
    <row r="8" spans="1:41" x14ac:dyDescent="0.25">
      <c r="A8" t="s">
        <v>277</v>
      </c>
      <c r="B8" t="s">
        <v>245</v>
      </c>
      <c r="C8">
        <v>15</v>
      </c>
      <c r="D8">
        <v>40</v>
      </c>
      <c r="E8">
        <v>75</v>
      </c>
      <c r="F8">
        <v>20</v>
      </c>
      <c r="G8" t="s">
        <v>7</v>
      </c>
      <c r="H8">
        <v>50</v>
      </c>
      <c r="I8">
        <v>1505.64</v>
      </c>
      <c r="J8">
        <v>10.25</v>
      </c>
      <c r="K8">
        <v>5.32</v>
      </c>
      <c r="L8">
        <v>2.77</v>
      </c>
      <c r="M8">
        <v>17.43</v>
      </c>
      <c r="N8">
        <v>8.61</v>
      </c>
      <c r="O8">
        <v>43</v>
      </c>
      <c r="P8">
        <v>31</v>
      </c>
      <c r="Q8">
        <v>2.75</v>
      </c>
      <c r="R8">
        <v>512.12</v>
      </c>
      <c r="S8">
        <v>41.33</v>
      </c>
      <c r="T8">
        <v>24.22</v>
      </c>
      <c r="U8">
        <v>50.77</v>
      </c>
      <c r="V8">
        <v>67.89</v>
      </c>
      <c r="W8">
        <v>225.31</v>
      </c>
      <c r="X8">
        <v>39.18</v>
      </c>
      <c r="Y8">
        <v>77.88</v>
      </c>
      <c r="Z8">
        <v>8.32</v>
      </c>
      <c r="AA8">
        <v>30.28</v>
      </c>
      <c r="AB8">
        <v>0.77</v>
      </c>
      <c r="AC8">
        <v>6.16</v>
      </c>
      <c r="AD8">
        <v>5.67</v>
      </c>
      <c r="AE8">
        <v>0.91</v>
      </c>
      <c r="AF8">
        <v>4.84</v>
      </c>
      <c r="AG8">
        <v>0.84</v>
      </c>
      <c r="AH8">
        <v>2.11</v>
      </c>
      <c r="AI8">
        <v>0.33</v>
      </c>
      <c r="AJ8">
        <v>2.0099999999999998</v>
      </c>
      <c r="AK8">
        <v>0.32</v>
      </c>
      <c r="AL8">
        <v>18.899999999999999</v>
      </c>
      <c r="AM8">
        <v>8.0500000000000007</v>
      </c>
      <c r="AN8">
        <v>25.9</v>
      </c>
      <c r="AO8">
        <v>8</v>
      </c>
    </row>
    <row r="9" spans="1:41" x14ac:dyDescent="0.25">
      <c r="A9" t="s">
        <v>277</v>
      </c>
      <c r="B9" t="s">
        <v>246</v>
      </c>
      <c r="C9">
        <v>15</v>
      </c>
      <c r="D9">
        <v>35</v>
      </c>
      <c r="E9">
        <v>45</v>
      </c>
      <c r="F9">
        <v>30</v>
      </c>
      <c r="G9" t="s">
        <v>7</v>
      </c>
      <c r="H9">
        <v>75</v>
      </c>
      <c r="I9">
        <v>156.84</v>
      </c>
      <c r="J9">
        <v>3.33</v>
      </c>
      <c r="K9">
        <v>3.78</v>
      </c>
      <c r="L9">
        <v>1.97</v>
      </c>
      <c r="M9">
        <v>10.07</v>
      </c>
      <c r="N9">
        <v>10.17</v>
      </c>
      <c r="O9">
        <v>80.040000000000006</v>
      </c>
      <c r="P9">
        <v>23.07</v>
      </c>
      <c r="Q9">
        <v>1.95</v>
      </c>
      <c r="R9">
        <v>363.73</v>
      </c>
      <c r="S9">
        <v>33.54</v>
      </c>
      <c r="T9">
        <v>32.130000000000003</v>
      </c>
      <c r="U9">
        <v>32.979999999999997</v>
      </c>
      <c r="V9">
        <v>56.73</v>
      </c>
      <c r="W9">
        <v>272.41000000000003</v>
      </c>
      <c r="X9">
        <v>60.81</v>
      </c>
      <c r="Y9">
        <v>119.66</v>
      </c>
      <c r="Z9">
        <v>13.59</v>
      </c>
      <c r="AA9">
        <v>49.64</v>
      </c>
      <c r="AB9">
        <v>1.02</v>
      </c>
      <c r="AC9">
        <v>9.4</v>
      </c>
      <c r="AD9">
        <v>8.4</v>
      </c>
      <c r="AE9">
        <v>1.28</v>
      </c>
      <c r="AF9">
        <v>6.39</v>
      </c>
      <c r="AG9">
        <v>1.1299999999999999</v>
      </c>
      <c r="AH9">
        <v>3.09</v>
      </c>
      <c r="AI9">
        <v>0.47</v>
      </c>
      <c r="AJ9">
        <v>3.05</v>
      </c>
      <c r="AK9">
        <v>0.45</v>
      </c>
      <c r="AL9">
        <v>10.65</v>
      </c>
      <c r="AM9">
        <v>5.45</v>
      </c>
      <c r="AN9">
        <v>38.909999999999997</v>
      </c>
      <c r="AO9">
        <v>7.05</v>
      </c>
    </row>
    <row r="10" spans="1:41" x14ac:dyDescent="0.25">
      <c r="A10" t="s">
        <v>277</v>
      </c>
      <c r="B10" t="s">
        <v>247</v>
      </c>
      <c r="C10">
        <v>20</v>
      </c>
      <c r="D10">
        <v>35</v>
      </c>
      <c r="E10">
        <v>90</v>
      </c>
      <c r="F10">
        <v>15</v>
      </c>
      <c r="G10" t="s">
        <v>7</v>
      </c>
      <c r="H10">
        <v>55</v>
      </c>
      <c r="I10">
        <v>932.02</v>
      </c>
      <c r="J10">
        <v>6.96</v>
      </c>
      <c r="K10">
        <v>7.22</v>
      </c>
      <c r="L10">
        <v>2.6</v>
      </c>
      <c r="M10">
        <v>12.16</v>
      </c>
      <c r="N10">
        <v>7.44</v>
      </c>
      <c r="O10">
        <v>40.29</v>
      </c>
      <c r="P10">
        <v>28.46</v>
      </c>
      <c r="Q10">
        <v>2.15</v>
      </c>
      <c r="R10">
        <v>451.01</v>
      </c>
      <c r="S10">
        <v>41.58</v>
      </c>
      <c r="T10">
        <v>20.09</v>
      </c>
      <c r="U10">
        <v>38.92</v>
      </c>
      <c r="V10">
        <v>75.78</v>
      </c>
      <c r="W10">
        <v>232.5</v>
      </c>
      <c r="X10">
        <v>57.22</v>
      </c>
      <c r="Y10">
        <v>116.86</v>
      </c>
      <c r="Z10">
        <v>12.87</v>
      </c>
      <c r="AA10">
        <v>45.75</v>
      </c>
      <c r="AB10">
        <v>0.96</v>
      </c>
      <c r="AC10">
        <v>9.2100000000000009</v>
      </c>
      <c r="AD10">
        <v>7.67</v>
      </c>
      <c r="AE10">
        <v>1.05</v>
      </c>
      <c r="AF10">
        <v>4.3899999999999997</v>
      </c>
      <c r="AG10">
        <v>0.67</v>
      </c>
      <c r="AH10">
        <v>1.79</v>
      </c>
      <c r="AI10">
        <v>0.26</v>
      </c>
      <c r="AJ10">
        <v>1.6</v>
      </c>
      <c r="AK10">
        <v>0.23</v>
      </c>
      <c r="AL10">
        <v>9.74</v>
      </c>
      <c r="AM10">
        <v>6.04</v>
      </c>
      <c r="AN10">
        <v>40.72</v>
      </c>
      <c r="AO10">
        <v>8.2799999999999994</v>
      </c>
    </row>
    <row r="11" spans="1:41" x14ac:dyDescent="0.25">
      <c r="A11" t="s">
        <v>277</v>
      </c>
      <c r="B11" t="s">
        <v>248</v>
      </c>
      <c r="C11">
        <v>25</v>
      </c>
      <c r="D11">
        <v>30</v>
      </c>
      <c r="E11">
        <v>70</v>
      </c>
      <c r="F11">
        <v>20</v>
      </c>
      <c r="G11">
        <v>10</v>
      </c>
      <c r="H11">
        <v>60</v>
      </c>
      <c r="I11">
        <v>88.48</v>
      </c>
      <c r="J11">
        <v>1.81</v>
      </c>
      <c r="K11">
        <v>2.29</v>
      </c>
      <c r="L11">
        <v>1.34</v>
      </c>
      <c r="M11">
        <v>6.9</v>
      </c>
      <c r="N11">
        <v>9.1</v>
      </c>
      <c r="O11">
        <v>67.39</v>
      </c>
      <c r="P11">
        <v>21.08</v>
      </c>
      <c r="Q11">
        <v>2.06</v>
      </c>
      <c r="R11">
        <v>223.61</v>
      </c>
      <c r="S11">
        <v>85.28</v>
      </c>
      <c r="T11">
        <v>44.33</v>
      </c>
      <c r="U11">
        <v>24.11</v>
      </c>
      <c r="V11">
        <v>35.770000000000003</v>
      </c>
      <c r="W11">
        <v>775.06</v>
      </c>
      <c r="X11">
        <v>131.47</v>
      </c>
      <c r="Y11">
        <v>256.68</v>
      </c>
      <c r="Z11">
        <v>28.6</v>
      </c>
      <c r="AA11">
        <v>101.35</v>
      </c>
      <c r="AB11">
        <v>2.11</v>
      </c>
      <c r="AC11">
        <v>17.52</v>
      </c>
      <c r="AD11">
        <v>13.66</v>
      </c>
      <c r="AE11">
        <v>1.75</v>
      </c>
      <c r="AF11">
        <v>8.4499999999999993</v>
      </c>
      <c r="AG11">
        <v>1.51</v>
      </c>
      <c r="AH11">
        <v>4.41</v>
      </c>
      <c r="AI11">
        <v>0.63</v>
      </c>
      <c r="AJ11">
        <v>3.9</v>
      </c>
      <c r="AK11">
        <v>0.65</v>
      </c>
      <c r="AL11">
        <v>4.29</v>
      </c>
      <c r="AM11" t="s">
        <v>37</v>
      </c>
      <c r="AN11">
        <v>72.400000000000006</v>
      </c>
      <c r="AO11">
        <v>7.09</v>
      </c>
    </row>
    <row r="12" spans="1:41" x14ac:dyDescent="0.25">
      <c r="A12" t="s">
        <v>277</v>
      </c>
      <c r="B12" t="s">
        <v>249</v>
      </c>
      <c r="C12">
        <v>20</v>
      </c>
      <c r="D12">
        <v>45</v>
      </c>
      <c r="E12">
        <v>65</v>
      </c>
      <c r="F12">
        <v>15</v>
      </c>
      <c r="G12" t="s">
        <v>7</v>
      </c>
      <c r="H12">
        <v>70</v>
      </c>
      <c r="I12">
        <v>88.7</v>
      </c>
      <c r="J12">
        <v>7.74</v>
      </c>
      <c r="K12">
        <v>4.01</v>
      </c>
      <c r="L12">
        <v>2</v>
      </c>
      <c r="M12">
        <v>11.17</v>
      </c>
      <c r="N12">
        <v>8.58</v>
      </c>
      <c r="O12">
        <v>32.020000000000003</v>
      </c>
      <c r="P12">
        <v>28.44</v>
      </c>
      <c r="Q12">
        <v>2.48</v>
      </c>
      <c r="R12">
        <v>350.75</v>
      </c>
      <c r="S12">
        <v>54.61</v>
      </c>
      <c r="T12">
        <v>59.75</v>
      </c>
      <c r="U12">
        <v>33.79</v>
      </c>
      <c r="V12">
        <v>45.57</v>
      </c>
      <c r="W12">
        <v>425.37</v>
      </c>
      <c r="X12">
        <v>86.33</v>
      </c>
      <c r="Y12">
        <v>161.88999999999999</v>
      </c>
      <c r="Z12">
        <v>17.66</v>
      </c>
      <c r="AA12">
        <v>62.35</v>
      </c>
      <c r="AB12">
        <v>1.46</v>
      </c>
      <c r="AC12">
        <v>12.37</v>
      </c>
      <c r="AD12">
        <v>11.81</v>
      </c>
      <c r="AE12">
        <v>1.9</v>
      </c>
      <c r="AF12">
        <v>11.09</v>
      </c>
      <c r="AG12">
        <v>2.04</v>
      </c>
      <c r="AH12">
        <v>5.92</v>
      </c>
      <c r="AI12">
        <v>0.9</v>
      </c>
      <c r="AJ12">
        <v>5.87</v>
      </c>
      <c r="AK12">
        <v>0.88</v>
      </c>
      <c r="AL12">
        <v>7.96</v>
      </c>
      <c r="AM12">
        <v>6.18</v>
      </c>
      <c r="AN12">
        <v>52.54</v>
      </c>
      <c r="AO12">
        <v>10.91</v>
      </c>
    </row>
    <row r="13" spans="1:41" x14ac:dyDescent="0.25">
      <c r="A13" t="s">
        <v>277</v>
      </c>
      <c r="B13" t="s">
        <v>250</v>
      </c>
      <c r="C13">
        <v>10</v>
      </c>
      <c r="D13">
        <v>25</v>
      </c>
      <c r="E13">
        <v>65</v>
      </c>
      <c r="F13">
        <v>10</v>
      </c>
      <c r="G13" t="s">
        <v>7</v>
      </c>
      <c r="H13">
        <v>45</v>
      </c>
      <c r="I13">
        <v>51.41</v>
      </c>
      <c r="J13">
        <v>1.49</v>
      </c>
      <c r="K13">
        <v>5.07</v>
      </c>
      <c r="L13">
        <v>1.03</v>
      </c>
      <c r="M13">
        <v>5.12</v>
      </c>
      <c r="N13">
        <v>9.6300000000000008</v>
      </c>
      <c r="O13">
        <v>43.11</v>
      </c>
      <c r="P13">
        <v>20.420000000000002</v>
      </c>
      <c r="Q13">
        <v>1.83</v>
      </c>
      <c r="R13">
        <v>169.84</v>
      </c>
      <c r="S13">
        <v>124.81</v>
      </c>
      <c r="T13">
        <v>37.270000000000003</v>
      </c>
      <c r="U13">
        <v>21.22</v>
      </c>
      <c r="V13">
        <v>27.57</v>
      </c>
      <c r="W13">
        <v>1234.77</v>
      </c>
      <c r="X13">
        <v>96.3</v>
      </c>
      <c r="Y13">
        <v>188.73</v>
      </c>
      <c r="Z13">
        <v>18.010000000000002</v>
      </c>
      <c r="AA13">
        <v>63.1</v>
      </c>
      <c r="AB13">
        <v>1.72</v>
      </c>
      <c r="AC13">
        <v>10.18</v>
      </c>
      <c r="AD13">
        <v>8.8800000000000008</v>
      </c>
      <c r="AE13">
        <v>1.34</v>
      </c>
      <c r="AF13">
        <v>7.16</v>
      </c>
      <c r="AG13">
        <v>1.34</v>
      </c>
      <c r="AH13">
        <v>4.1500000000000004</v>
      </c>
      <c r="AI13">
        <v>0.62</v>
      </c>
      <c r="AJ13">
        <v>4.42</v>
      </c>
      <c r="AK13">
        <v>0.72</v>
      </c>
      <c r="AL13">
        <v>3.45</v>
      </c>
      <c r="AM13" t="s">
        <v>37</v>
      </c>
      <c r="AN13">
        <v>40.99</v>
      </c>
      <c r="AO13">
        <v>4.7</v>
      </c>
    </row>
    <row r="14" spans="1:41" x14ac:dyDescent="0.25">
      <c r="A14" t="s">
        <v>277</v>
      </c>
      <c r="B14" t="s">
        <v>251</v>
      </c>
      <c r="C14">
        <v>30</v>
      </c>
      <c r="D14">
        <v>25</v>
      </c>
      <c r="E14">
        <v>80</v>
      </c>
      <c r="F14">
        <v>40</v>
      </c>
      <c r="G14">
        <v>12</v>
      </c>
      <c r="H14">
        <v>305</v>
      </c>
      <c r="I14">
        <v>192.7</v>
      </c>
      <c r="J14">
        <v>6.3</v>
      </c>
      <c r="K14">
        <v>4.78</v>
      </c>
      <c r="L14">
        <v>1.81</v>
      </c>
      <c r="M14">
        <v>10.09</v>
      </c>
      <c r="N14">
        <v>10.74</v>
      </c>
      <c r="O14">
        <v>93.15</v>
      </c>
      <c r="P14">
        <v>27.67</v>
      </c>
      <c r="Q14">
        <v>1.66</v>
      </c>
      <c r="R14">
        <v>297.86</v>
      </c>
      <c r="S14">
        <v>87.64</v>
      </c>
      <c r="T14">
        <v>34.979999999999997</v>
      </c>
      <c r="U14">
        <v>27.27</v>
      </c>
      <c r="V14">
        <v>40.47</v>
      </c>
      <c r="W14">
        <v>638.1</v>
      </c>
      <c r="X14">
        <v>49.35</v>
      </c>
      <c r="Y14">
        <v>103.91</v>
      </c>
      <c r="Z14">
        <v>10.85</v>
      </c>
      <c r="AA14">
        <v>39.92</v>
      </c>
      <c r="AB14">
        <v>1.84</v>
      </c>
      <c r="AC14">
        <v>7.55</v>
      </c>
      <c r="AD14">
        <v>7.21</v>
      </c>
      <c r="AE14">
        <v>1.1299999999999999</v>
      </c>
      <c r="AF14">
        <v>6.38</v>
      </c>
      <c r="AG14">
        <v>1.17</v>
      </c>
      <c r="AH14">
        <v>3.38</v>
      </c>
      <c r="AI14">
        <v>0.55000000000000004</v>
      </c>
      <c r="AJ14">
        <v>3.5</v>
      </c>
      <c r="AK14">
        <v>0.56999999999999995</v>
      </c>
      <c r="AL14">
        <v>7.64</v>
      </c>
      <c r="AM14">
        <v>6.11</v>
      </c>
      <c r="AN14">
        <v>21.75</v>
      </c>
      <c r="AO14">
        <v>3.95</v>
      </c>
    </row>
    <row r="15" spans="1:41" x14ac:dyDescent="0.25">
      <c r="A15" t="s">
        <v>277</v>
      </c>
      <c r="B15" t="s">
        <v>252</v>
      </c>
      <c r="C15">
        <v>10</v>
      </c>
      <c r="D15">
        <v>50</v>
      </c>
      <c r="E15">
        <v>50</v>
      </c>
      <c r="F15">
        <v>20</v>
      </c>
      <c r="G15" t="s">
        <v>7</v>
      </c>
      <c r="H15">
        <v>65</v>
      </c>
      <c r="I15">
        <v>48.1</v>
      </c>
      <c r="J15">
        <v>1.1200000000000001</v>
      </c>
      <c r="K15">
        <v>4.16</v>
      </c>
      <c r="L15">
        <v>1.8</v>
      </c>
      <c r="M15">
        <v>3.94</v>
      </c>
      <c r="N15">
        <v>9.32</v>
      </c>
      <c r="O15">
        <v>55.72</v>
      </c>
      <c r="P15">
        <v>22.62</v>
      </c>
      <c r="Q15">
        <v>1.67</v>
      </c>
      <c r="R15">
        <v>306.35000000000002</v>
      </c>
      <c r="S15">
        <v>37.020000000000003</v>
      </c>
      <c r="T15">
        <v>117.18</v>
      </c>
      <c r="U15">
        <v>34.57</v>
      </c>
      <c r="V15">
        <v>17.68</v>
      </c>
      <c r="W15">
        <v>354.23</v>
      </c>
      <c r="X15">
        <v>110.11</v>
      </c>
      <c r="Y15">
        <v>211.03</v>
      </c>
      <c r="Z15">
        <v>24.96</v>
      </c>
      <c r="AA15">
        <v>88.52</v>
      </c>
      <c r="AB15">
        <v>1.49</v>
      </c>
      <c r="AC15">
        <v>17.68</v>
      </c>
      <c r="AD15">
        <v>17.55</v>
      </c>
      <c r="AE15">
        <v>3.1</v>
      </c>
      <c r="AF15">
        <v>19.78</v>
      </c>
      <c r="AG15">
        <v>3.87</v>
      </c>
      <c r="AH15">
        <v>12.25</v>
      </c>
      <c r="AI15">
        <v>1.95</v>
      </c>
      <c r="AJ15">
        <v>13.04</v>
      </c>
      <c r="AK15">
        <v>2.0299999999999998</v>
      </c>
      <c r="AL15">
        <v>9</v>
      </c>
      <c r="AM15" t="s">
        <v>37</v>
      </c>
      <c r="AN15">
        <v>141.77000000000001</v>
      </c>
      <c r="AO15">
        <v>18.2</v>
      </c>
    </row>
    <row r="16" spans="1:41" x14ac:dyDescent="0.25">
      <c r="A16" t="s">
        <v>277</v>
      </c>
      <c r="B16" t="s">
        <v>253</v>
      </c>
      <c r="C16">
        <v>10</v>
      </c>
      <c r="D16">
        <v>55</v>
      </c>
      <c r="E16">
        <v>70</v>
      </c>
      <c r="F16">
        <v>20</v>
      </c>
      <c r="G16" t="s">
        <v>7</v>
      </c>
      <c r="H16">
        <v>105</v>
      </c>
      <c r="I16">
        <v>70.34</v>
      </c>
      <c r="J16">
        <v>4.46</v>
      </c>
      <c r="K16">
        <v>7.1</v>
      </c>
      <c r="L16">
        <v>1.96</v>
      </c>
      <c r="M16">
        <v>6.56</v>
      </c>
      <c r="N16">
        <v>10.98</v>
      </c>
      <c r="O16">
        <v>62.58</v>
      </c>
      <c r="P16">
        <v>26.71</v>
      </c>
      <c r="Q16">
        <v>2.12</v>
      </c>
      <c r="R16">
        <v>382.04</v>
      </c>
      <c r="S16">
        <v>41.03</v>
      </c>
      <c r="T16">
        <v>116.46</v>
      </c>
      <c r="U16">
        <v>43.7</v>
      </c>
      <c r="V16">
        <v>21.54</v>
      </c>
      <c r="W16">
        <v>347.32</v>
      </c>
      <c r="X16">
        <v>120.34</v>
      </c>
      <c r="Y16">
        <v>231.86</v>
      </c>
      <c r="Z16">
        <v>25.84</v>
      </c>
      <c r="AA16">
        <v>91.44</v>
      </c>
      <c r="AB16">
        <v>1.3</v>
      </c>
      <c r="AC16">
        <v>17.5</v>
      </c>
      <c r="AD16">
        <v>16.38</v>
      </c>
      <c r="AE16">
        <v>3</v>
      </c>
      <c r="AF16">
        <v>18.82</v>
      </c>
      <c r="AG16">
        <v>3.77</v>
      </c>
      <c r="AH16">
        <v>11.96</v>
      </c>
      <c r="AI16">
        <v>1.97</v>
      </c>
      <c r="AJ16">
        <v>12.65</v>
      </c>
      <c r="AK16">
        <v>1.93</v>
      </c>
      <c r="AL16">
        <v>6.92</v>
      </c>
      <c r="AM16" t="s">
        <v>37</v>
      </c>
      <c r="AN16">
        <v>136.51</v>
      </c>
      <c r="AO16">
        <v>15.34</v>
      </c>
    </row>
    <row r="17" spans="1:41" x14ac:dyDescent="0.25">
      <c r="A17" t="s">
        <v>277</v>
      </c>
      <c r="B17" t="s">
        <v>254</v>
      </c>
      <c r="C17">
        <v>25</v>
      </c>
      <c r="D17">
        <v>30</v>
      </c>
      <c r="E17">
        <v>60</v>
      </c>
      <c r="F17">
        <v>25</v>
      </c>
      <c r="G17" t="s">
        <v>7</v>
      </c>
      <c r="H17">
        <v>105</v>
      </c>
      <c r="I17">
        <v>132.79</v>
      </c>
      <c r="J17">
        <v>2.65</v>
      </c>
      <c r="K17">
        <v>3.13</v>
      </c>
      <c r="L17">
        <v>2.25</v>
      </c>
      <c r="M17">
        <v>7.21</v>
      </c>
      <c r="N17">
        <v>10.029999999999999</v>
      </c>
      <c r="O17">
        <v>66.959999999999994</v>
      </c>
      <c r="P17">
        <v>21.1</v>
      </c>
      <c r="Q17">
        <v>1.8</v>
      </c>
      <c r="R17">
        <v>386.19</v>
      </c>
      <c r="S17">
        <v>38.03</v>
      </c>
      <c r="T17">
        <v>30.2</v>
      </c>
      <c r="U17">
        <v>65.400000000000006</v>
      </c>
      <c r="V17">
        <v>28.68</v>
      </c>
      <c r="W17">
        <v>311.55</v>
      </c>
      <c r="X17">
        <v>124.17</v>
      </c>
      <c r="Y17">
        <v>253.64</v>
      </c>
      <c r="Z17">
        <v>29.27</v>
      </c>
      <c r="AA17">
        <v>104.99</v>
      </c>
      <c r="AB17">
        <v>1.57</v>
      </c>
      <c r="AC17">
        <v>18</v>
      </c>
      <c r="AD17">
        <v>13.11</v>
      </c>
      <c r="AE17">
        <v>1.53</v>
      </c>
      <c r="AF17">
        <v>6.77</v>
      </c>
      <c r="AG17">
        <v>1.06</v>
      </c>
      <c r="AH17">
        <v>3.03</v>
      </c>
      <c r="AI17">
        <v>0.46</v>
      </c>
      <c r="AJ17">
        <v>2.9</v>
      </c>
      <c r="AK17">
        <v>0.47</v>
      </c>
      <c r="AL17">
        <v>25.12</v>
      </c>
      <c r="AM17" t="s">
        <v>37</v>
      </c>
      <c r="AN17">
        <v>88.21</v>
      </c>
      <c r="AO17">
        <v>8.93</v>
      </c>
    </row>
    <row r="18" spans="1:41" x14ac:dyDescent="0.25">
      <c r="A18" t="s">
        <v>277</v>
      </c>
      <c r="B18" t="s">
        <v>255</v>
      </c>
      <c r="C18">
        <v>15</v>
      </c>
      <c r="D18">
        <v>25</v>
      </c>
      <c r="E18">
        <v>45</v>
      </c>
      <c r="F18" t="s">
        <v>7</v>
      </c>
      <c r="G18" t="s">
        <v>7</v>
      </c>
      <c r="H18">
        <v>60</v>
      </c>
      <c r="I18">
        <v>49.62</v>
      </c>
      <c r="J18">
        <v>1.27</v>
      </c>
      <c r="K18">
        <v>0.91</v>
      </c>
      <c r="L18">
        <v>1.04</v>
      </c>
      <c r="M18">
        <v>6.59</v>
      </c>
      <c r="N18">
        <v>10.3</v>
      </c>
      <c r="O18">
        <v>41.6</v>
      </c>
      <c r="P18">
        <v>20.5</v>
      </c>
      <c r="Q18">
        <v>1.56</v>
      </c>
      <c r="R18">
        <v>199.71</v>
      </c>
      <c r="S18">
        <v>112.36</v>
      </c>
      <c r="T18">
        <v>59.02</v>
      </c>
      <c r="U18">
        <v>28.6</v>
      </c>
      <c r="V18">
        <v>26.89</v>
      </c>
      <c r="W18">
        <v>753.14</v>
      </c>
      <c r="X18">
        <v>49.71</v>
      </c>
      <c r="Y18">
        <v>101.95</v>
      </c>
      <c r="Z18">
        <v>11.28</v>
      </c>
      <c r="AA18">
        <v>41.66</v>
      </c>
      <c r="AB18">
        <v>1.23</v>
      </c>
      <c r="AC18">
        <v>8.8800000000000008</v>
      </c>
      <c r="AD18">
        <v>8.85</v>
      </c>
      <c r="AE18">
        <v>1.68</v>
      </c>
      <c r="AF18">
        <v>10.52</v>
      </c>
      <c r="AG18">
        <v>2.06</v>
      </c>
      <c r="AH18">
        <v>6.45</v>
      </c>
      <c r="AI18">
        <v>1.08</v>
      </c>
      <c r="AJ18">
        <v>7.43</v>
      </c>
      <c r="AK18">
        <v>1.22</v>
      </c>
      <c r="AL18">
        <v>5.25</v>
      </c>
      <c r="AM18">
        <v>9.18</v>
      </c>
      <c r="AN18">
        <v>79.62</v>
      </c>
      <c r="AO18">
        <v>13.35</v>
      </c>
    </row>
    <row r="19" spans="1:41" x14ac:dyDescent="0.25">
      <c r="A19" t="s">
        <v>277</v>
      </c>
      <c r="B19" t="s">
        <v>256</v>
      </c>
      <c r="C19">
        <v>10</v>
      </c>
      <c r="D19">
        <v>35</v>
      </c>
      <c r="E19">
        <v>130</v>
      </c>
      <c r="F19">
        <v>15</v>
      </c>
      <c r="G19" t="s">
        <v>7</v>
      </c>
      <c r="H19">
        <v>50</v>
      </c>
      <c r="I19">
        <v>34.81</v>
      </c>
      <c r="J19">
        <v>0.47</v>
      </c>
      <c r="K19">
        <v>1.88</v>
      </c>
      <c r="L19">
        <v>1.18</v>
      </c>
      <c r="M19">
        <v>4.5999999999999996</v>
      </c>
      <c r="N19">
        <v>11.33</v>
      </c>
      <c r="O19">
        <v>70.94</v>
      </c>
      <c r="P19">
        <v>34.67</v>
      </c>
      <c r="Q19">
        <v>1.91</v>
      </c>
      <c r="R19">
        <v>225.83</v>
      </c>
      <c r="S19">
        <v>91.91</v>
      </c>
      <c r="T19">
        <v>100.95</v>
      </c>
      <c r="U19">
        <v>38.049999999999997</v>
      </c>
      <c r="V19">
        <v>13.53</v>
      </c>
      <c r="W19">
        <v>765.24</v>
      </c>
      <c r="X19">
        <v>179.36</v>
      </c>
      <c r="Y19">
        <v>307.45999999999998</v>
      </c>
      <c r="Z19">
        <v>37.61</v>
      </c>
      <c r="AA19">
        <v>136.78</v>
      </c>
      <c r="AB19">
        <v>4.7300000000000004</v>
      </c>
      <c r="AC19">
        <v>24.75</v>
      </c>
      <c r="AD19">
        <v>22.2</v>
      </c>
      <c r="AE19">
        <v>3.46</v>
      </c>
      <c r="AF19">
        <v>18.78</v>
      </c>
      <c r="AG19">
        <v>3.55</v>
      </c>
      <c r="AH19">
        <v>10</v>
      </c>
      <c r="AI19">
        <v>1.57</v>
      </c>
      <c r="AJ19">
        <v>9.77</v>
      </c>
      <c r="AK19">
        <v>1.48</v>
      </c>
      <c r="AL19">
        <v>2.7</v>
      </c>
      <c r="AM19" t="s">
        <v>37</v>
      </c>
      <c r="AN19">
        <v>85.5</v>
      </c>
      <c r="AO19">
        <v>6.77</v>
      </c>
    </row>
    <row r="20" spans="1:41" x14ac:dyDescent="0.25">
      <c r="A20" t="s">
        <v>277</v>
      </c>
      <c r="B20" t="s">
        <v>257</v>
      </c>
      <c r="C20">
        <v>20</v>
      </c>
      <c r="D20">
        <v>15</v>
      </c>
      <c r="E20">
        <v>60</v>
      </c>
      <c r="F20">
        <v>20</v>
      </c>
      <c r="G20" t="s">
        <v>7</v>
      </c>
      <c r="H20">
        <v>80</v>
      </c>
      <c r="I20">
        <v>31.4</v>
      </c>
      <c r="J20">
        <v>0.65</v>
      </c>
      <c r="K20">
        <v>1.73</v>
      </c>
      <c r="L20">
        <v>0.72</v>
      </c>
      <c r="M20">
        <v>3.71</v>
      </c>
      <c r="N20">
        <v>10.86</v>
      </c>
      <c r="O20">
        <v>100.76</v>
      </c>
      <c r="P20">
        <v>18.61</v>
      </c>
      <c r="Q20">
        <v>1.61</v>
      </c>
      <c r="R20">
        <v>130.58000000000001</v>
      </c>
      <c r="S20">
        <v>108.33</v>
      </c>
      <c r="T20">
        <v>35.4</v>
      </c>
      <c r="U20">
        <v>20.399999999999999</v>
      </c>
      <c r="V20">
        <v>13.68</v>
      </c>
      <c r="W20">
        <v>807.98</v>
      </c>
      <c r="X20">
        <v>51.46</v>
      </c>
      <c r="Y20">
        <v>87.23</v>
      </c>
      <c r="Z20">
        <v>11.02</v>
      </c>
      <c r="AA20">
        <v>40.799999999999997</v>
      </c>
      <c r="AB20">
        <v>1.62</v>
      </c>
      <c r="AC20">
        <v>7.46</v>
      </c>
      <c r="AD20">
        <v>6.78</v>
      </c>
      <c r="AE20">
        <v>1.1399999999999999</v>
      </c>
      <c r="AF20">
        <v>6.61</v>
      </c>
      <c r="AG20">
        <v>1.24</v>
      </c>
      <c r="AH20">
        <v>3.66</v>
      </c>
      <c r="AI20">
        <v>0.6</v>
      </c>
      <c r="AJ20">
        <v>3.94</v>
      </c>
      <c r="AK20">
        <v>0.62</v>
      </c>
      <c r="AL20">
        <v>3.01</v>
      </c>
      <c r="AM20" t="s">
        <v>37</v>
      </c>
      <c r="AN20">
        <v>24.16</v>
      </c>
      <c r="AO20">
        <v>4.03</v>
      </c>
    </row>
    <row r="21" spans="1:41" x14ac:dyDescent="0.25">
      <c r="A21" t="s">
        <v>277</v>
      </c>
      <c r="B21" t="s">
        <v>258</v>
      </c>
      <c r="C21">
        <v>15</v>
      </c>
      <c r="D21">
        <v>25</v>
      </c>
      <c r="E21">
        <v>70</v>
      </c>
      <c r="F21">
        <v>20</v>
      </c>
      <c r="G21">
        <v>10</v>
      </c>
      <c r="H21">
        <v>75</v>
      </c>
      <c r="I21">
        <v>31.23</v>
      </c>
      <c r="J21">
        <v>0.72</v>
      </c>
      <c r="K21">
        <v>1.69</v>
      </c>
      <c r="L21">
        <v>0.92</v>
      </c>
      <c r="M21">
        <v>4.17</v>
      </c>
      <c r="N21">
        <v>10.73</v>
      </c>
      <c r="O21">
        <v>98.92</v>
      </c>
      <c r="P21">
        <v>20.93</v>
      </c>
      <c r="Q21">
        <v>1.54</v>
      </c>
      <c r="R21">
        <v>157.74</v>
      </c>
      <c r="S21">
        <v>131.65</v>
      </c>
      <c r="T21">
        <v>43.48</v>
      </c>
      <c r="U21">
        <v>32.03</v>
      </c>
      <c r="V21">
        <v>13.23</v>
      </c>
      <c r="W21">
        <v>870.72</v>
      </c>
      <c r="X21">
        <v>64.42</v>
      </c>
      <c r="Y21">
        <v>130.97999999999999</v>
      </c>
      <c r="Z21">
        <v>15.01</v>
      </c>
      <c r="AA21">
        <v>56.03</v>
      </c>
      <c r="AB21">
        <v>2.14</v>
      </c>
      <c r="AC21">
        <v>10.220000000000001</v>
      </c>
      <c r="AD21">
        <v>9.15</v>
      </c>
      <c r="AE21">
        <v>1.42</v>
      </c>
      <c r="AF21">
        <v>8.42</v>
      </c>
      <c r="AG21">
        <v>1.54</v>
      </c>
      <c r="AH21">
        <v>4.68</v>
      </c>
      <c r="AI21">
        <v>0.74</v>
      </c>
      <c r="AJ21">
        <v>4.95</v>
      </c>
      <c r="AK21">
        <v>0.79</v>
      </c>
      <c r="AL21">
        <v>2.91</v>
      </c>
      <c r="AM21" t="s">
        <v>37</v>
      </c>
      <c r="AN21">
        <v>33.92</v>
      </c>
      <c r="AO21">
        <v>6.37</v>
      </c>
    </row>
    <row r="22" spans="1:41" x14ac:dyDescent="0.25">
      <c r="A22" t="s">
        <v>277</v>
      </c>
      <c r="B22" t="s">
        <v>259</v>
      </c>
      <c r="C22">
        <v>20</v>
      </c>
      <c r="D22">
        <v>25</v>
      </c>
      <c r="E22">
        <v>115</v>
      </c>
      <c r="F22">
        <v>10</v>
      </c>
      <c r="G22">
        <v>15</v>
      </c>
      <c r="H22">
        <v>50</v>
      </c>
      <c r="I22">
        <v>39.1</v>
      </c>
      <c r="J22">
        <v>1.06</v>
      </c>
      <c r="K22">
        <v>3.04</v>
      </c>
      <c r="L22">
        <v>0.83</v>
      </c>
      <c r="M22">
        <v>4.42</v>
      </c>
      <c r="N22">
        <v>11.07</v>
      </c>
      <c r="O22">
        <v>117.22</v>
      </c>
      <c r="P22">
        <v>27.29</v>
      </c>
      <c r="Q22">
        <v>1.74</v>
      </c>
      <c r="R22">
        <v>163.43</v>
      </c>
      <c r="S22">
        <v>136.62</v>
      </c>
      <c r="T22">
        <v>77.02</v>
      </c>
      <c r="U22">
        <v>53.24</v>
      </c>
      <c r="V22">
        <v>11.31</v>
      </c>
      <c r="W22">
        <v>553.48</v>
      </c>
      <c r="X22">
        <v>87.48</v>
      </c>
      <c r="Y22">
        <v>184.73</v>
      </c>
      <c r="Z22">
        <v>22.1</v>
      </c>
      <c r="AA22">
        <v>86.74</v>
      </c>
      <c r="AB22">
        <v>4.0199999999999996</v>
      </c>
      <c r="AC22">
        <v>17.98</v>
      </c>
      <c r="AD22">
        <v>15.55</v>
      </c>
      <c r="AE22">
        <v>2.56</v>
      </c>
      <c r="AF22">
        <v>14.44</v>
      </c>
      <c r="AG22">
        <v>2.72</v>
      </c>
      <c r="AH22">
        <v>8.16</v>
      </c>
      <c r="AI22">
        <v>1.18</v>
      </c>
      <c r="AJ22">
        <v>8.08</v>
      </c>
      <c r="AK22">
        <v>1.31</v>
      </c>
      <c r="AL22">
        <v>4.26</v>
      </c>
      <c r="AM22" t="s">
        <v>37</v>
      </c>
      <c r="AN22">
        <v>30.69</v>
      </c>
      <c r="AO22">
        <v>8.9700000000000006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2"/>
  <sheetViews>
    <sheetView tabSelected="1" topLeftCell="W1" zoomScale="78" zoomScaleNormal="78" workbookViewId="0">
      <pane ySplit="1" topLeftCell="A2" activePane="bottomLeft" state="frozen"/>
      <selection pane="bottomLeft" activeCell="AV6" sqref="AV6"/>
    </sheetView>
  </sheetViews>
  <sheetFormatPr defaultRowHeight="15" x14ac:dyDescent="0.25"/>
  <cols>
    <col min="1" max="1" width="15.28515625" customWidth="1"/>
    <col min="2" max="13" width="11.42578125" customWidth="1"/>
    <col min="18" max="18" width="11.140625" bestFit="1" customWidth="1"/>
  </cols>
  <sheetData>
    <row r="1" spans="1:57" x14ac:dyDescent="0.25">
      <c r="A1" t="s">
        <v>261</v>
      </c>
      <c r="B1" t="s">
        <v>0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79</v>
      </c>
      <c r="O1" t="s">
        <v>80</v>
      </c>
      <c r="P1" t="s">
        <v>81</v>
      </c>
      <c r="Q1" t="s">
        <v>85</v>
      </c>
      <c r="R1" t="s">
        <v>78</v>
      </c>
      <c r="S1" t="s">
        <v>86</v>
      </c>
      <c r="T1" t="s">
        <v>76</v>
      </c>
      <c r="U1" t="s">
        <v>77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52</v>
      </c>
      <c r="AW1" t="s">
        <v>53</v>
      </c>
      <c r="AX1" t="s">
        <v>54</v>
      </c>
      <c r="AY1" t="s">
        <v>55</v>
      </c>
      <c r="AZ1" t="s">
        <v>56</v>
      </c>
      <c r="BA1" t="s">
        <v>226</v>
      </c>
      <c r="BB1" t="s">
        <v>227</v>
      </c>
      <c r="BC1" t="s">
        <v>228</v>
      </c>
      <c r="BE1" t="s">
        <v>278</v>
      </c>
    </row>
    <row r="2" spans="1:57" x14ac:dyDescent="0.25"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87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  <c r="AE2" t="s">
        <v>35</v>
      </c>
      <c r="AF2" t="s">
        <v>35</v>
      </c>
      <c r="AG2" t="s">
        <v>35</v>
      </c>
      <c r="AH2" t="s">
        <v>35</v>
      </c>
      <c r="AI2" t="s">
        <v>35</v>
      </c>
      <c r="AJ2" t="s">
        <v>35</v>
      </c>
      <c r="AK2" t="s">
        <v>35</v>
      </c>
      <c r="AL2" t="s">
        <v>35</v>
      </c>
      <c r="AM2" t="s">
        <v>35</v>
      </c>
      <c r="AN2" t="s">
        <v>35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</row>
    <row r="3" spans="1:57" x14ac:dyDescent="0.25">
      <c r="A3" s="7" t="s">
        <v>272</v>
      </c>
      <c r="B3" t="s">
        <v>36</v>
      </c>
      <c r="N3">
        <v>285</v>
      </c>
      <c r="O3">
        <v>40</v>
      </c>
      <c r="P3">
        <v>90</v>
      </c>
      <c r="Q3">
        <v>2</v>
      </c>
      <c r="R3">
        <v>190</v>
      </c>
      <c r="S3" t="s">
        <v>39</v>
      </c>
      <c r="V3">
        <v>6.34</v>
      </c>
      <c r="W3">
        <v>12.55</v>
      </c>
      <c r="X3">
        <v>2.61</v>
      </c>
      <c r="Y3">
        <v>399.69</v>
      </c>
      <c r="Z3">
        <v>22.14</v>
      </c>
      <c r="AA3">
        <v>22.37</v>
      </c>
      <c r="AB3" t="s">
        <v>37</v>
      </c>
      <c r="AC3">
        <v>49.24</v>
      </c>
      <c r="AD3">
        <v>80.290000000000006</v>
      </c>
      <c r="AE3">
        <v>171.27</v>
      </c>
      <c r="AF3">
        <v>18.5</v>
      </c>
      <c r="AG3">
        <v>63.24</v>
      </c>
      <c r="AH3">
        <v>1.03</v>
      </c>
      <c r="AI3">
        <v>12.74</v>
      </c>
      <c r="AJ3">
        <v>9.69</v>
      </c>
      <c r="AK3">
        <v>1.39</v>
      </c>
      <c r="AL3">
        <v>5.83</v>
      </c>
      <c r="AM3">
        <v>0.77</v>
      </c>
      <c r="AN3">
        <v>1.82</v>
      </c>
      <c r="AO3">
        <v>0.21</v>
      </c>
      <c r="AP3">
        <v>1.18</v>
      </c>
      <c r="AQ3">
        <v>0.15</v>
      </c>
      <c r="AR3">
        <v>3.32</v>
      </c>
      <c r="AS3">
        <v>1143.9000000000001</v>
      </c>
      <c r="AT3">
        <v>57.56</v>
      </c>
      <c r="AU3">
        <v>34.19</v>
      </c>
      <c r="BE3">
        <f>AR3+AA3</f>
        <v>25.69</v>
      </c>
    </row>
    <row r="4" spans="1:57" x14ac:dyDescent="0.25">
      <c r="A4" s="7" t="s">
        <v>272</v>
      </c>
      <c r="B4" t="s">
        <v>1</v>
      </c>
      <c r="N4">
        <v>30</v>
      </c>
      <c r="O4">
        <v>40</v>
      </c>
      <c r="P4">
        <v>40</v>
      </c>
      <c r="Q4">
        <v>2</v>
      </c>
      <c r="R4">
        <v>145</v>
      </c>
      <c r="S4" t="s">
        <v>39</v>
      </c>
      <c r="V4">
        <v>47.05</v>
      </c>
      <c r="W4">
        <v>11.01</v>
      </c>
      <c r="X4" t="s">
        <v>8</v>
      </c>
      <c r="Y4">
        <v>492.27</v>
      </c>
      <c r="Z4">
        <v>5.7</v>
      </c>
      <c r="AA4">
        <v>35.840000000000003</v>
      </c>
      <c r="AB4" t="s">
        <v>37</v>
      </c>
      <c r="AC4">
        <v>52.33</v>
      </c>
      <c r="AD4">
        <v>4.1399999999999997</v>
      </c>
      <c r="AE4">
        <v>7.78</v>
      </c>
      <c r="AF4">
        <v>0.9</v>
      </c>
      <c r="AG4">
        <v>2.92</v>
      </c>
      <c r="AH4">
        <v>0.13</v>
      </c>
      <c r="AI4">
        <v>2.0299999999999998</v>
      </c>
      <c r="AJ4">
        <v>0.82</v>
      </c>
      <c r="AK4">
        <v>0.18</v>
      </c>
      <c r="AL4">
        <v>0.98</v>
      </c>
      <c r="AM4">
        <v>0.17</v>
      </c>
      <c r="AN4">
        <v>0.4</v>
      </c>
      <c r="AO4">
        <v>7.0000000000000007E-2</v>
      </c>
      <c r="AP4">
        <v>0.41</v>
      </c>
      <c r="AQ4">
        <v>0.05</v>
      </c>
      <c r="AR4">
        <v>11.73</v>
      </c>
      <c r="AS4">
        <v>21.57</v>
      </c>
      <c r="AT4">
        <v>4.74</v>
      </c>
      <c r="AU4">
        <v>5.38</v>
      </c>
      <c r="BE4">
        <f t="shared" ref="BE4:BE52" si="0">AR4+AA4</f>
        <v>47.570000000000007</v>
      </c>
    </row>
    <row r="5" spans="1:57" x14ac:dyDescent="0.25">
      <c r="A5" s="7" t="s">
        <v>272</v>
      </c>
      <c r="B5" t="s">
        <v>2</v>
      </c>
      <c r="N5" t="s">
        <v>7</v>
      </c>
      <c r="O5">
        <v>20</v>
      </c>
      <c r="P5">
        <v>15</v>
      </c>
      <c r="Q5">
        <v>2</v>
      </c>
      <c r="R5">
        <v>10</v>
      </c>
      <c r="S5" t="s">
        <v>39</v>
      </c>
      <c r="V5">
        <v>1.66</v>
      </c>
      <c r="W5">
        <v>10.5</v>
      </c>
      <c r="X5" t="s">
        <v>8</v>
      </c>
      <c r="Y5">
        <v>113.66</v>
      </c>
      <c r="Z5">
        <v>8.16</v>
      </c>
      <c r="AA5">
        <v>12.76</v>
      </c>
      <c r="AB5" t="s">
        <v>37</v>
      </c>
      <c r="AC5">
        <v>5.22</v>
      </c>
      <c r="AD5">
        <v>11.99</v>
      </c>
      <c r="AE5">
        <v>12.11</v>
      </c>
      <c r="AF5">
        <v>1.98</v>
      </c>
      <c r="AG5">
        <v>6.28</v>
      </c>
      <c r="AH5">
        <v>0.33</v>
      </c>
      <c r="AI5">
        <v>1.54</v>
      </c>
      <c r="AJ5">
        <v>1.0900000000000001</v>
      </c>
      <c r="AK5">
        <v>0.23</v>
      </c>
      <c r="AL5">
        <v>1.38</v>
      </c>
      <c r="AM5">
        <v>0.32</v>
      </c>
      <c r="AN5">
        <v>0.8</v>
      </c>
      <c r="AO5">
        <v>0.16</v>
      </c>
      <c r="AP5">
        <v>1.26</v>
      </c>
      <c r="AQ5">
        <v>0.18</v>
      </c>
      <c r="AR5">
        <v>0.51</v>
      </c>
      <c r="AS5">
        <v>5.34</v>
      </c>
      <c r="AT5">
        <v>1.95</v>
      </c>
      <c r="AU5">
        <v>0.95</v>
      </c>
      <c r="BE5">
        <f t="shared" si="0"/>
        <v>13.27</v>
      </c>
    </row>
    <row r="6" spans="1:57" x14ac:dyDescent="0.25">
      <c r="A6" s="7" t="s">
        <v>272</v>
      </c>
      <c r="B6" t="s">
        <v>3</v>
      </c>
      <c r="N6" t="s">
        <v>7</v>
      </c>
      <c r="O6">
        <v>10</v>
      </c>
      <c r="P6">
        <v>190</v>
      </c>
      <c r="Q6" t="s">
        <v>8</v>
      </c>
      <c r="R6" s="5">
        <v>3.0999999999999999E-3</v>
      </c>
      <c r="S6" t="s">
        <v>39</v>
      </c>
      <c r="V6">
        <v>452.35</v>
      </c>
      <c r="W6">
        <v>11.75</v>
      </c>
      <c r="X6" t="s">
        <v>8</v>
      </c>
      <c r="Y6">
        <v>1390.83</v>
      </c>
      <c r="Z6">
        <v>10.98</v>
      </c>
      <c r="AA6">
        <v>59.45</v>
      </c>
      <c r="AB6" t="s">
        <v>37</v>
      </c>
      <c r="AC6">
        <v>357.45</v>
      </c>
      <c r="AD6">
        <v>23.45</v>
      </c>
      <c r="AE6">
        <v>45.01</v>
      </c>
      <c r="AF6">
        <v>5.17</v>
      </c>
      <c r="AG6">
        <v>17.27</v>
      </c>
      <c r="AH6">
        <v>0.24</v>
      </c>
      <c r="AI6">
        <v>3.62</v>
      </c>
      <c r="AJ6">
        <v>3.13</v>
      </c>
      <c r="AK6">
        <v>0.55000000000000004</v>
      </c>
      <c r="AL6">
        <v>2.61</v>
      </c>
      <c r="AM6">
        <v>0.43</v>
      </c>
      <c r="AN6">
        <v>0.98</v>
      </c>
      <c r="AO6">
        <v>0.14000000000000001</v>
      </c>
      <c r="AP6">
        <v>0.79</v>
      </c>
      <c r="AQ6">
        <v>0.1</v>
      </c>
      <c r="AR6">
        <v>271.97000000000003</v>
      </c>
      <c r="AS6">
        <v>18.100000000000001</v>
      </c>
      <c r="AT6">
        <v>33.299999999999997</v>
      </c>
      <c r="AU6">
        <v>17.13</v>
      </c>
      <c r="AV6">
        <f>SUM(AD6:AQ6)</f>
        <v>103.49</v>
      </c>
      <c r="BE6">
        <f t="shared" si="0"/>
        <v>331.42</v>
      </c>
    </row>
    <row r="7" spans="1:57" x14ac:dyDescent="0.25">
      <c r="A7" s="7" t="s">
        <v>272</v>
      </c>
      <c r="B7" t="s">
        <v>4</v>
      </c>
      <c r="N7" t="s">
        <v>7</v>
      </c>
      <c r="O7">
        <v>45</v>
      </c>
      <c r="P7">
        <v>70</v>
      </c>
      <c r="Q7">
        <v>2</v>
      </c>
      <c r="R7">
        <v>375</v>
      </c>
      <c r="S7" t="s">
        <v>39</v>
      </c>
      <c r="V7">
        <v>15.42</v>
      </c>
      <c r="W7">
        <v>10.26</v>
      </c>
      <c r="X7" t="s">
        <v>8</v>
      </c>
      <c r="Y7">
        <v>726.74</v>
      </c>
      <c r="Z7">
        <v>22</v>
      </c>
      <c r="AA7">
        <v>34.11</v>
      </c>
      <c r="AB7" t="s">
        <v>37</v>
      </c>
      <c r="AC7">
        <v>1086.8499999999999</v>
      </c>
      <c r="AD7">
        <v>46.51</v>
      </c>
      <c r="AE7">
        <v>89.78</v>
      </c>
      <c r="AF7">
        <v>10.69</v>
      </c>
      <c r="AG7">
        <v>37.130000000000003</v>
      </c>
      <c r="AH7">
        <v>0.68</v>
      </c>
      <c r="AI7">
        <v>7.73</v>
      </c>
      <c r="AJ7">
        <v>6.88</v>
      </c>
      <c r="AK7">
        <v>1.06</v>
      </c>
      <c r="AL7">
        <v>4.92</v>
      </c>
      <c r="AM7">
        <v>0.78</v>
      </c>
      <c r="AN7">
        <v>1.82</v>
      </c>
      <c r="AO7">
        <v>0.24</v>
      </c>
      <c r="AP7">
        <v>1.44</v>
      </c>
      <c r="AQ7">
        <v>0.2</v>
      </c>
      <c r="AR7">
        <v>10.3</v>
      </c>
      <c r="AS7">
        <v>10.130000000000001</v>
      </c>
      <c r="AT7">
        <v>38.130000000000003</v>
      </c>
      <c r="AU7">
        <v>6.16</v>
      </c>
      <c r="BE7">
        <f t="shared" si="0"/>
        <v>44.41</v>
      </c>
    </row>
    <row r="8" spans="1:57" x14ac:dyDescent="0.25">
      <c r="A8" s="7" t="s">
        <v>272</v>
      </c>
      <c r="B8" t="s">
        <v>5</v>
      </c>
      <c r="N8" t="s">
        <v>7</v>
      </c>
      <c r="O8">
        <v>40</v>
      </c>
      <c r="P8">
        <v>35</v>
      </c>
      <c r="Q8">
        <v>2</v>
      </c>
      <c r="R8">
        <v>5</v>
      </c>
      <c r="S8" t="s">
        <v>39</v>
      </c>
      <c r="V8">
        <v>116.73</v>
      </c>
      <c r="W8">
        <v>11.21</v>
      </c>
      <c r="X8" t="s">
        <v>8</v>
      </c>
      <c r="Y8">
        <v>456.87</v>
      </c>
      <c r="Z8">
        <v>5.54</v>
      </c>
      <c r="AA8">
        <v>121.55</v>
      </c>
      <c r="AB8" t="s">
        <v>37</v>
      </c>
      <c r="AC8">
        <v>17.149999999999999</v>
      </c>
      <c r="AD8">
        <v>3.01</v>
      </c>
      <c r="AE8">
        <v>5.77</v>
      </c>
      <c r="AF8">
        <v>0.65</v>
      </c>
      <c r="AG8">
        <v>2.06</v>
      </c>
      <c r="AH8">
        <v>7.0000000000000007E-2</v>
      </c>
      <c r="AI8">
        <v>0.53</v>
      </c>
      <c r="AJ8">
        <v>0.49</v>
      </c>
      <c r="AK8">
        <v>0.12</v>
      </c>
      <c r="AL8">
        <v>0.7</v>
      </c>
      <c r="AM8">
        <v>0.16</v>
      </c>
      <c r="AN8">
        <v>0.36</v>
      </c>
      <c r="AO8">
        <v>0.08</v>
      </c>
      <c r="AP8">
        <v>0.6</v>
      </c>
      <c r="AQ8">
        <v>0.08</v>
      </c>
      <c r="AR8">
        <v>43.82</v>
      </c>
      <c r="AS8">
        <v>8.65</v>
      </c>
      <c r="AT8">
        <v>10.55</v>
      </c>
      <c r="AU8">
        <v>16.399999999999999</v>
      </c>
      <c r="BE8">
        <f t="shared" si="0"/>
        <v>165.37</v>
      </c>
    </row>
    <row r="9" spans="1:57" x14ac:dyDescent="0.25">
      <c r="A9" s="7" t="s">
        <v>272</v>
      </c>
      <c r="B9" t="s">
        <v>6</v>
      </c>
      <c r="N9" t="s">
        <v>7</v>
      </c>
      <c r="O9">
        <v>45</v>
      </c>
      <c r="P9">
        <v>10</v>
      </c>
      <c r="Q9">
        <v>2</v>
      </c>
      <c r="R9">
        <v>5</v>
      </c>
      <c r="S9" t="s">
        <v>39</v>
      </c>
      <c r="V9">
        <v>118.96</v>
      </c>
      <c r="W9">
        <v>11.12</v>
      </c>
      <c r="X9">
        <v>6.52</v>
      </c>
      <c r="Y9">
        <v>1465.95</v>
      </c>
      <c r="Z9">
        <v>1.49</v>
      </c>
      <c r="AA9">
        <v>192.89</v>
      </c>
      <c r="AB9" t="s">
        <v>37</v>
      </c>
      <c r="AC9">
        <v>27.54</v>
      </c>
      <c r="AD9">
        <v>1.1000000000000001</v>
      </c>
      <c r="AE9">
        <v>1.41</v>
      </c>
      <c r="AF9">
        <v>0.25</v>
      </c>
      <c r="AG9">
        <v>1.02</v>
      </c>
      <c r="AH9">
        <v>0.12</v>
      </c>
      <c r="AI9">
        <v>0.27</v>
      </c>
      <c r="AJ9">
        <v>0.23</v>
      </c>
      <c r="AK9">
        <v>0.04</v>
      </c>
      <c r="AL9">
        <v>0.21</v>
      </c>
      <c r="AM9">
        <v>0.06</v>
      </c>
      <c r="AN9">
        <v>0.14000000000000001</v>
      </c>
      <c r="AO9">
        <v>0.02</v>
      </c>
      <c r="AP9">
        <v>0.19</v>
      </c>
      <c r="AQ9">
        <v>0.03</v>
      </c>
      <c r="AR9">
        <v>107.74</v>
      </c>
      <c r="AS9">
        <v>6.15</v>
      </c>
      <c r="AT9">
        <v>9.84</v>
      </c>
      <c r="AU9">
        <v>4.96</v>
      </c>
      <c r="BE9">
        <f t="shared" si="0"/>
        <v>300.63</v>
      </c>
    </row>
    <row r="10" spans="1:57" x14ac:dyDescent="0.25">
      <c r="A10" s="8" t="s">
        <v>268</v>
      </c>
      <c r="B10" t="s">
        <v>38</v>
      </c>
      <c r="N10">
        <v>10</v>
      </c>
      <c r="O10">
        <v>25</v>
      </c>
      <c r="P10">
        <v>50</v>
      </c>
      <c r="Q10" t="s">
        <v>8</v>
      </c>
      <c r="R10">
        <v>105</v>
      </c>
      <c r="S10" t="s">
        <v>39</v>
      </c>
      <c r="V10">
        <v>48.17</v>
      </c>
      <c r="W10">
        <v>9.3699999999999992</v>
      </c>
      <c r="X10" t="s">
        <v>8</v>
      </c>
      <c r="Y10">
        <v>1123.23</v>
      </c>
      <c r="Z10">
        <v>2.19</v>
      </c>
      <c r="AA10">
        <v>94.38</v>
      </c>
      <c r="AB10">
        <v>14.31</v>
      </c>
      <c r="AC10">
        <v>98.98</v>
      </c>
      <c r="AD10">
        <v>4.55</v>
      </c>
      <c r="AE10">
        <v>8.89</v>
      </c>
      <c r="AF10">
        <v>1.05</v>
      </c>
      <c r="AG10">
        <v>3.65</v>
      </c>
      <c r="AH10">
        <v>0.11</v>
      </c>
      <c r="AI10">
        <v>0.88</v>
      </c>
      <c r="AJ10">
        <v>0.76</v>
      </c>
      <c r="AK10">
        <v>0.09</v>
      </c>
      <c r="AL10">
        <v>0.43</v>
      </c>
      <c r="AM10">
        <v>0.09</v>
      </c>
      <c r="AN10">
        <v>0.15</v>
      </c>
      <c r="AO10">
        <v>0.03</v>
      </c>
      <c r="AP10">
        <v>0.1</v>
      </c>
      <c r="AQ10">
        <v>0.02</v>
      </c>
      <c r="AR10">
        <v>147.13999999999999</v>
      </c>
      <c r="AS10">
        <v>16.45</v>
      </c>
      <c r="AT10">
        <v>11.2</v>
      </c>
      <c r="AU10">
        <v>9.4499999999999993</v>
      </c>
      <c r="BE10">
        <f t="shared" si="0"/>
        <v>241.51999999999998</v>
      </c>
    </row>
    <row r="11" spans="1:57" x14ac:dyDescent="0.25">
      <c r="A11" s="8" t="s">
        <v>268</v>
      </c>
      <c r="B11" t="s">
        <v>40</v>
      </c>
      <c r="N11">
        <v>25</v>
      </c>
      <c r="O11">
        <v>50</v>
      </c>
      <c r="P11">
        <v>65</v>
      </c>
      <c r="Q11" t="s">
        <v>8</v>
      </c>
      <c r="R11">
        <v>145</v>
      </c>
      <c r="S11" t="s">
        <v>39</v>
      </c>
      <c r="V11">
        <v>18.18</v>
      </c>
      <c r="W11">
        <v>10.41</v>
      </c>
      <c r="X11" t="s">
        <v>8</v>
      </c>
      <c r="Y11">
        <v>563.59</v>
      </c>
      <c r="Z11">
        <v>34.479999999999997</v>
      </c>
      <c r="AA11">
        <v>50.16</v>
      </c>
      <c r="AB11">
        <v>12.91</v>
      </c>
      <c r="AC11">
        <v>37.76</v>
      </c>
      <c r="AD11">
        <v>43.4</v>
      </c>
      <c r="AE11">
        <v>102.91</v>
      </c>
      <c r="AF11">
        <v>10.82</v>
      </c>
      <c r="AG11">
        <v>43.04</v>
      </c>
      <c r="AH11">
        <v>0.93</v>
      </c>
      <c r="AI11">
        <v>8.9</v>
      </c>
      <c r="AJ11">
        <v>8.16</v>
      </c>
      <c r="AK11">
        <v>1.3</v>
      </c>
      <c r="AL11">
        <v>6.92</v>
      </c>
      <c r="AM11">
        <v>1.08</v>
      </c>
      <c r="AN11">
        <v>2.5499999999999998</v>
      </c>
      <c r="AO11">
        <v>0.38</v>
      </c>
      <c r="AP11">
        <v>2.25</v>
      </c>
      <c r="AQ11">
        <v>0.32</v>
      </c>
      <c r="AR11">
        <v>12.14</v>
      </c>
      <c r="AS11">
        <v>8.4600000000000009</v>
      </c>
      <c r="AT11">
        <v>41.53</v>
      </c>
      <c r="AU11">
        <v>11.78</v>
      </c>
      <c r="BE11">
        <f t="shared" si="0"/>
        <v>62.3</v>
      </c>
    </row>
    <row r="12" spans="1:57" x14ac:dyDescent="0.25">
      <c r="A12" s="8" t="s">
        <v>268</v>
      </c>
      <c r="B12" t="s">
        <v>41</v>
      </c>
      <c r="N12">
        <v>10</v>
      </c>
      <c r="O12">
        <v>40</v>
      </c>
      <c r="P12">
        <v>95</v>
      </c>
      <c r="Q12" t="s">
        <v>8</v>
      </c>
      <c r="R12">
        <v>745</v>
      </c>
      <c r="S12" t="s">
        <v>39</v>
      </c>
      <c r="V12">
        <v>13.96</v>
      </c>
      <c r="W12">
        <v>8.57</v>
      </c>
      <c r="X12" t="s">
        <v>8</v>
      </c>
      <c r="Y12">
        <v>812.28</v>
      </c>
      <c r="Z12">
        <v>14.35</v>
      </c>
      <c r="AA12">
        <v>31.81</v>
      </c>
      <c r="AB12">
        <v>14.39</v>
      </c>
      <c r="AC12">
        <v>169.85</v>
      </c>
      <c r="AD12">
        <v>47.56</v>
      </c>
      <c r="AE12">
        <v>96.63</v>
      </c>
      <c r="AF12">
        <v>10.84</v>
      </c>
      <c r="AG12">
        <v>38.32</v>
      </c>
      <c r="AH12">
        <v>0.77</v>
      </c>
      <c r="AI12">
        <v>8.6199999999999992</v>
      </c>
      <c r="AJ12">
        <v>6.48</v>
      </c>
      <c r="AK12">
        <v>0.88</v>
      </c>
      <c r="AL12">
        <v>3.43</v>
      </c>
      <c r="AM12">
        <v>0.49</v>
      </c>
      <c r="AN12">
        <v>1.1399999999999999</v>
      </c>
      <c r="AO12">
        <v>0.15</v>
      </c>
      <c r="AP12">
        <v>0.82</v>
      </c>
      <c r="AQ12">
        <v>0.13</v>
      </c>
      <c r="AR12">
        <v>8.32</v>
      </c>
      <c r="AS12">
        <v>10.83</v>
      </c>
      <c r="AT12">
        <v>38.86</v>
      </c>
      <c r="AU12">
        <v>7.9</v>
      </c>
      <c r="BE12">
        <f t="shared" si="0"/>
        <v>40.129999999999995</v>
      </c>
    </row>
    <row r="13" spans="1:57" x14ac:dyDescent="0.25">
      <c r="A13" s="8" t="s">
        <v>268</v>
      </c>
      <c r="B13" t="s">
        <v>42</v>
      </c>
      <c r="N13" t="s">
        <v>7</v>
      </c>
      <c r="O13">
        <v>15</v>
      </c>
      <c r="P13">
        <v>75</v>
      </c>
      <c r="Q13" t="s">
        <v>8</v>
      </c>
      <c r="R13">
        <v>25</v>
      </c>
      <c r="S13" t="s">
        <v>39</v>
      </c>
      <c r="V13">
        <v>2.66</v>
      </c>
      <c r="W13">
        <v>10.33</v>
      </c>
      <c r="X13" t="s">
        <v>8</v>
      </c>
      <c r="Y13">
        <v>118.54</v>
      </c>
      <c r="Z13">
        <v>29.82</v>
      </c>
      <c r="AA13">
        <v>17.600000000000001</v>
      </c>
      <c r="AB13">
        <v>13.74</v>
      </c>
      <c r="AC13">
        <v>10.86</v>
      </c>
      <c r="AD13">
        <v>47.66</v>
      </c>
      <c r="AE13">
        <v>81.99</v>
      </c>
      <c r="AF13">
        <v>8.8699999999999992</v>
      </c>
      <c r="AG13">
        <v>33.42</v>
      </c>
      <c r="AH13">
        <v>1.67</v>
      </c>
      <c r="AI13">
        <v>5.99</v>
      </c>
      <c r="AJ13">
        <v>5.57</v>
      </c>
      <c r="AK13">
        <v>0.82</v>
      </c>
      <c r="AL13">
        <v>5.24</v>
      </c>
      <c r="AM13">
        <v>1</v>
      </c>
      <c r="AN13">
        <v>3.23</v>
      </c>
      <c r="AO13">
        <v>0.49</v>
      </c>
      <c r="AP13">
        <v>3</v>
      </c>
      <c r="AQ13">
        <v>0.54</v>
      </c>
      <c r="AR13">
        <v>1.61</v>
      </c>
      <c r="AS13" t="s">
        <v>37</v>
      </c>
      <c r="AT13">
        <v>23.76</v>
      </c>
      <c r="AU13">
        <v>2.4</v>
      </c>
      <c r="BE13">
        <f t="shared" si="0"/>
        <v>19.21</v>
      </c>
    </row>
    <row r="14" spans="1:57" x14ac:dyDescent="0.25">
      <c r="A14" s="8" t="s">
        <v>268</v>
      </c>
      <c r="B14" t="s">
        <v>43</v>
      </c>
      <c r="N14">
        <v>50</v>
      </c>
      <c r="O14">
        <v>10</v>
      </c>
      <c r="P14">
        <v>90</v>
      </c>
      <c r="Q14">
        <v>4</v>
      </c>
      <c r="R14">
        <v>10</v>
      </c>
      <c r="S14" t="s">
        <v>39</v>
      </c>
      <c r="V14">
        <v>6.75</v>
      </c>
      <c r="W14">
        <v>17.21</v>
      </c>
      <c r="X14" t="s">
        <v>8</v>
      </c>
      <c r="Y14">
        <v>17.63</v>
      </c>
      <c r="Z14">
        <v>16.95</v>
      </c>
      <c r="AA14">
        <v>4.97</v>
      </c>
      <c r="AB14">
        <v>18.75</v>
      </c>
      <c r="AC14">
        <v>2.23</v>
      </c>
      <c r="AD14">
        <v>8.9600000000000009</v>
      </c>
      <c r="AE14">
        <v>17.8</v>
      </c>
      <c r="AF14">
        <v>2.29</v>
      </c>
      <c r="AG14">
        <v>11.32</v>
      </c>
      <c r="AH14">
        <v>0.97</v>
      </c>
      <c r="AI14">
        <v>2.86</v>
      </c>
      <c r="AJ14">
        <v>2.81</v>
      </c>
      <c r="AK14">
        <v>0.48</v>
      </c>
      <c r="AL14">
        <v>3.45</v>
      </c>
      <c r="AM14">
        <v>0.65</v>
      </c>
      <c r="AN14">
        <v>1.98</v>
      </c>
      <c r="AO14">
        <v>0.3</v>
      </c>
      <c r="AP14">
        <v>1.9</v>
      </c>
      <c r="AQ14">
        <v>0.32</v>
      </c>
      <c r="AR14">
        <v>0.52</v>
      </c>
      <c r="AS14">
        <v>392.34</v>
      </c>
      <c r="AT14">
        <v>2.39</v>
      </c>
      <c r="AU14">
        <v>1.67</v>
      </c>
      <c r="BE14">
        <f t="shared" si="0"/>
        <v>5.49</v>
      </c>
    </row>
    <row r="15" spans="1:57" x14ac:dyDescent="0.25">
      <c r="A15" s="8" t="s">
        <v>268</v>
      </c>
      <c r="B15" t="s">
        <v>44</v>
      </c>
      <c r="N15" t="s">
        <v>7</v>
      </c>
      <c r="O15" t="s">
        <v>7</v>
      </c>
      <c r="P15">
        <v>80</v>
      </c>
      <c r="Q15">
        <v>2</v>
      </c>
      <c r="R15">
        <v>90</v>
      </c>
      <c r="S15" t="s">
        <v>39</v>
      </c>
      <c r="V15">
        <v>2.2799999999999998</v>
      </c>
      <c r="W15">
        <v>8.82</v>
      </c>
      <c r="X15" t="s">
        <v>8</v>
      </c>
      <c r="Y15">
        <v>20.23</v>
      </c>
      <c r="Z15">
        <v>32.58</v>
      </c>
      <c r="AA15">
        <v>12</v>
      </c>
      <c r="AB15">
        <v>9.2799999999999994</v>
      </c>
      <c r="AC15">
        <v>1.92</v>
      </c>
      <c r="AD15">
        <v>104.84</v>
      </c>
      <c r="AE15">
        <v>278.77</v>
      </c>
      <c r="AF15">
        <v>28.43</v>
      </c>
      <c r="AG15">
        <v>116.03</v>
      </c>
      <c r="AH15">
        <v>3.45</v>
      </c>
      <c r="AI15">
        <v>18.53</v>
      </c>
      <c r="AJ15">
        <v>16.12</v>
      </c>
      <c r="AK15">
        <v>1.76</v>
      </c>
      <c r="AL15">
        <v>7.76</v>
      </c>
      <c r="AM15">
        <v>1.1000000000000001</v>
      </c>
      <c r="AN15">
        <v>3.03</v>
      </c>
      <c r="AO15">
        <v>0.35</v>
      </c>
      <c r="AP15">
        <v>2.21</v>
      </c>
      <c r="AQ15">
        <v>0.34</v>
      </c>
      <c r="AR15">
        <v>0.81</v>
      </c>
      <c r="AS15">
        <v>8.3800000000000008</v>
      </c>
      <c r="AT15">
        <v>20.07</v>
      </c>
      <c r="AU15">
        <v>3.03</v>
      </c>
      <c r="BE15">
        <f t="shared" si="0"/>
        <v>12.81</v>
      </c>
    </row>
    <row r="16" spans="1:57" x14ac:dyDescent="0.25">
      <c r="A16" s="8" t="s">
        <v>268</v>
      </c>
      <c r="B16" t="s">
        <v>45</v>
      </c>
      <c r="N16" t="s">
        <v>7</v>
      </c>
      <c r="O16">
        <v>20</v>
      </c>
      <c r="P16">
        <v>30</v>
      </c>
      <c r="Q16">
        <v>2</v>
      </c>
      <c r="R16">
        <v>10</v>
      </c>
      <c r="S16" t="s">
        <v>39</v>
      </c>
      <c r="V16">
        <v>121.98</v>
      </c>
      <c r="W16">
        <v>7.75</v>
      </c>
      <c r="X16" t="s">
        <v>8</v>
      </c>
      <c r="Y16">
        <v>553.69000000000005</v>
      </c>
      <c r="Z16">
        <v>2.4700000000000002</v>
      </c>
      <c r="AA16">
        <v>121.8</v>
      </c>
      <c r="AB16">
        <v>28.24</v>
      </c>
      <c r="AC16">
        <v>25.51</v>
      </c>
      <c r="AD16">
        <v>5.07</v>
      </c>
      <c r="AE16">
        <v>8.8000000000000007</v>
      </c>
      <c r="AF16">
        <v>0.97</v>
      </c>
      <c r="AG16">
        <v>4.24</v>
      </c>
      <c r="AH16">
        <v>0.16</v>
      </c>
      <c r="AI16">
        <v>0.66</v>
      </c>
      <c r="AJ16">
        <v>0.57999999999999996</v>
      </c>
      <c r="AK16">
        <v>0.08</v>
      </c>
      <c r="AL16">
        <v>0.52</v>
      </c>
      <c r="AM16">
        <v>7.0000000000000007E-2</v>
      </c>
      <c r="AN16">
        <v>0.27</v>
      </c>
      <c r="AO16">
        <v>0.04</v>
      </c>
      <c r="AP16">
        <v>0.25</v>
      </c>
      <c r="AQ16">
        <v>0.04</v>
      </c>
      <c r="AR16">
        <v>193.05</v>
      </c>
      <c r="AS16">
        <v>21.36</v>
      </c>
      <c r="AT16">
        <v>7.45</v>
      </c>
      <c r="AU16">
        <v>2.0499999999999998</v>
      </c>
      <c r="BE16">
        <f t="shared" si="0"/>
        <v>314.85000000000002</v>
      </c>
    </row>
    <row r="17" spans="1:57" x14ac:dyDescent="0.25">
      <c r="A17" s="8" t="s">
        <v>268</v>
      </c>
      <c r="B17" t="s">
        <v>46</v>
      </c>
      <c r="N17" t="s">
        <v>7</v>
      </c>
      <c r="O17">
        <v>25</v>
      </c>
      <c r="P17">
        <v>20</v>
      </c>
      <c r="Q17" t="s">
        <v>8</v>
      </c>
      <c r="R17">
        <v>10</v>
      </c>
      <c r="S17" t="s">
        <v>39</v>
      </c>
      <c r="V17">
        <v>6.97</v>
      </c>
      <c r="W17">
        <v>9.19</v>
      </c>
      <c r="X17">
        <v>2.58</v>
      </c>
      <c r="Y17">
        <v>287.70999999999998</v>
      </c>
      <c r="Z17">
        <v>8.98</v>
      </c>
      <c r="AA17">
        <v>80.77</v>
      </c>
      <c r="AB17">
        <v>18.66</v>
      </c>
      <c r="AC17">
        <v>12.25</v>
      </c>
      <c r="AD17">
        <v>4.24</v>
      </c>
      <c r="AE17">
        <v>7.02</v>
      </c>
      <c r="AF17">
        <v>0.85</v>
      </c>
      <c r="AG17">
        <v>3.27</v>
      </c>
      <c r="AH17">
        <v>0.12</v>
      </c>
      <c r="AI17">
        <v>0.82</v>
      </c>
      <c r="AJ17">
        <v>0.9</v>
      </c>
      <c r="AK17">
        <v>0.24</v>
      </c>
      <c r="AL17">
        <v>1.51</v>
      </c>
      <c r="AM17">
        <v>0.28000000000000003</v>
      </c>
      <c r="AN17">
        <v>0.78</v>
      </c>
      <c r="AO17">
        <v>0.12</v>
      </c>
      <c r="AP17">
        <v>0.87</v>
      </c>
      <c r="AQ17">
        <v>0.12</v>
      </c>
      <c r="AR17">
        <v>26.14</v>
      </c>
      <c r="AS17">
        <v>16.399999999999999</v>
      </c>
      <c r="AT17">
        <v>5.01</v>
      </c>
      <c r="AU17">
        <v>2.33</v>
      </c>
      <c r="BE17">
        <f t="shared" si="0"/>
        <v>106.91</v>
      </c>
    </row>
    <row r="18" spans="1:57" x14ac:dyDescent="0.25">
      <c r="A18" s="8" t="s">
        <v>268</v>
      </c>
      <c r="B18" t="s">
        <v>47</v>
      </c>
      <c r="N18">
        <v>25</v>
      </c>
      <c r="O18">
        <v>45</v>
      </c>
      <c r="P18">
        <v>30</v>
      </c>
      <c r="Q18" t="s">
        <v>8</v>
      </c>
      <c r="R18">
        <v>5</v>
      </c>
      <c r="S18" t="s">
        <v>39</v>
      </c>
      <c r="V18">
        <v>13.77</v>
      </c>
      <c r="W18">
        <v>9.73</v>
      </c>
      <c r="X18" t="s">
        <v>8</v>
      </c>
      <c r="Y18">
        <v>206.09</v>
      </c>
      <c r="Z18">
        <v>13.62</v>
      </c>
      <c r="AA18">
        <v>39.200000000000003</v>
      </c>
      <c r="AB18">
        <v>9.0500000000000007</v>
      </c>
      <c r="AC18">
        <v>5.0199999999999996</v>
      </c>
      <c r="AD18">
        <v>2.83</v>
      </c>
      <c r="AE18">
        <v>5.92</v>
      </c>
      <c r="AF18">
        <v>0.69</v>
      </c>
      <c r="AG18">
        <v>2.63</v>
      </c>
      <c r="AH18">
        <v>0.15</v>
      </c>
      <c r="AI18">
        <v>1.35</v>
      </c>
      <c r="AJ18">
        <v>1.52</v>
      </c>
      <c r="AK18">
        <v>0.39</v>
      </c>
      <c r="AL18">
        <v>2.4900000000000002</v>
      </c>
      <c r="AM18">
        <v>0.39</v>
      </c>
      <c r="AN18">
        <v>1.01</v>
      </c>
      <c r="AO18">
        <v>0.18</v>
      </c>
      <c r="AP18">
        <v>1.2</v>
      </c>
      <c r="AQ18">
        <v>0.16</v>
      </c>
      <c r="AR18">
        <v>11.35</v>
      </c>
      <c r="AS18" t="s">
        <v>37</v>
      </c>
      <c r="AT18">
        <v>3.39</v>
      </c>
      <c r="AU18">
        <v>11.13</v>
      </c>
      <c r="BE18">
        <f t="shared" si="0"/>
        <v>50.550000000000004</v>
      </c>
    </row>
    <row r="19" spans="1:57" x14ac:dyDescent="0.25">
      <c r="A19" s="8" t="s">
        <v>268</v>
      </c>
      <c r="B19" t="s">
        <v>48</v>
      </c>
      <c r="N19" t="s">
        <v>7</v>
      </c>
      <c r="O19">
        <v>20</v>
      </c>
      <c r="P19">
        <v>40</v>
      </c>
      <c r="Q19" t="s">
        <v>8</v>
      </c>
      <c r="R19">
        <v>15</v>
      </c>
      <c r="S19" t="s">
        <v>39</v>
      </c>
      <c r="V19">
        <v>55.57</v>
      </c>
      <c r="W19">
        <v>8.5299999999999994</v>
      </c>
      <c r="X19" t="s">
        <v>8</v>
      </c>
      <c r="Y19">
        <v>797.95</v>
      </c>
      <c r="Z19">
        <v>0.75</v>
      </c>
      <c r="AA19">
        <v>141.57</v>
      </c>
      <c r="AB19">
        <v>33.71</v>
      </c>
      <c r="AC19">
        <v>28.29</v>
      </c>
      <c r="AD19">
        <v>1.65</v>
      </c>
      <c r="AE19">
        <v>1.68</v>
      </c>
      <c r="AF19">
        <v>0.19</v>
      </c>
      <c r="AG19">
        <v>0.7</v>
      </c>
      <c r="AH19">
        <v>0.03</v>
      </c>
      <c r="AI19">
        <v>0.08</v>
      </c>
      <c r="AJ19">
        <v>0.09</v>
      </c>
      <c r="AK19">
        <v>0.02</v>
      </c>
      <c r="AL19">
        <v>0.09</v>
      </c>
      <c r="AM19">
        <v>0.02</v>
      </c>
      <c r="AN19">
        <v>0.04</v>
      </c>
      <c r="AO19">
        <v>0.01</v>
      </c>
      <c r="AP19">
        <v>0.08</v>
      </c>
      <c r="AQ19">
        <v>0.01</v>
      </c>
      <c r="AR19">
        <v>108.14</v>
      </c>
      <c r="AS19">
        <v>7.7</v>
      </c>
      <c r="AT19">
        <v>9.36</v>
      </c>
      <c r="AU19">
        <v>6.12</v>
      </c>
      <c r="BE19">
        <f t="shared" si="0"/>
        <v>249.70999999999998</v>
      </c>
    </row>
    <row r="20" spans="1:57" x14ac:dyDescent="0.25">
      <c r="A20" s="8" t="s">
        <v>268</v>
      </c>
      <c r="B20" t="s">
        <v>49</v>
      </c>
      <c r="N20" t="s">
        <v>7</v>
      </c>
      <c r="O20">
        <v>30</v>
      </c>
      <c r="P20">
        <v>10</v>
      </c>
      <c r="Q20">
        <v>2</v>
      </c>
      <c r="R20">
        <v>5</v>
      </c>
      <c r="S20" t="s">
        <v>39</v>
      </c>
      <c r="V20">
        <v>16.03</v>
      </c>
      <c r="W20">
        <v>7.58</v>
      </c>
      <c r="X20" t="s">
        <v>8</v>
      </c>
      <c r="Y20">
        <v>1668.66</v>
      </c>
      <c r="Z20">
        <v>1.02</v>
      </c>
      <c r="AA20">
        <v>21.3</v>
      </c>
      <c r="AB20">
        <v>30.36</v>
      </c>
      <c r="AC20">
        <v>42.8</v>
      </c>
      <c r="AD20">
        <v>1.68</v>
      </c>
      <c r="AE20">
        <v>1.1100000000000001</v>
      </c>
      <c r="AF20">
        <v>0.26</v>
      </c>
      <c r="AG20">
        <v>0.97</v>
      </c>
      <c r="AH20">
        <v>0.06</v>
      </c>
      <c r="AI20">
        <v>0.25</v>
      </c>
      <c r="AJ20">
        <v>0.17</v>
      </c>
      <c r="AK20">
        <v>0.02</v>
      </c>
      <c r="AL20">
        <v>0.17</v>
      </c>
      <c r="AM20">
        <v>0.03</v>
      </c>
      <c r="AN20">
        <v>0.08</v>
      </c>
      <c r="AO20">
        <v>0.02</v>
      </c>
      <c r="AP20">
        <v>0.12</v>
      </c>
      <c r="AQ20">
        <v>0.01</v>
      </c>
      <c r="AR20">
        <v>10.11</v>
      </c>
      <c r="AS20" t="s">
        <v>37</v>
      </c>
      <c r="AT20">
        <v>2</v>
      </c>
      <c r="AU20">
        <v>0.89</v>
      </c>
      <c r="BE20">
        <f t="shared" si="0"/>
        <v>31.41</v>
      </c>
    </row>
    <row r="21" spans="1:57" x14ac:dyDescent="0.25">
      <c r="A21" s="8" t="s">
        <v>268</v>
      </c>
      <c r="B21" t="s">
        <v>50</v>
      </c>
      <c r="N21" t="s">
        <v>7</v>
      </c>
      <c r="O21" t="s">
        <v>7</v>
      </c>
      <c r="P21">
        <v>10</v>
      </c>
      <c r="Q21" t="s">
        <v>8</v>
      </c>
      <c r="R21" t="s">
        <v>37</v>
      </c>
      <c r="S21" t="s">
        <v>39</v>
      </c>
      <c r="V21">
        <v>1.34</v>
      </c>
      <c r="W21">
        <v>11.92</v>
      </c>
      <c r="X21">
        <v>3.46</v>
      </c>
      <c r="Y21">
        <v>7.96</v>
      </c>
      <c r="Z21">
        <v>2.06</v>
      </c>
      <c r="AA21">
        <v>76.67</v>
      </c>
      <c r="AB21">
        <v>30.84</v>
      </c>
      <c r="AC21">
        <v>0.74</v>
      </c>
      <c r="AD21">
        <v>4.6900000000000004</v>
      </c>
      <c r="AE21">
        <v>9.89</v>
      </c>
      <c r="AF21">
        <v>1.01</v>
      </c>
      <c r="AG21">
        <v>4.2</v>
      </c>
      <c r="AH21">
        <v>0.15</v>
      </c>
      <c r="AI21">
        <v>1.88</v>
      </c>
      <c r="AJ21">
        <v>0.57999999999999996</v>
      </c>
      <c r="AK21">
        <v>0.08</v>
      </c>
      <c r="AL21">
        <v>0.5</v>
      </c>
      <c r="AM21">
        <v>0.09</v>
      </c>
      <c r="AN21">
        <v>0.3</v>
      </c>
      <c r="AO21">
        <v>0.03</v>
      </c>
      <c r="AP21">
        <v>0.24</v>
      </c>
      <c r="AQ21">
        <v>0.04</v>
      </c>
      <c r="AR21">
        <v>1.33</v>
      </c>
      <c r="AS21" t="s">
        <v>37</v>
      </c>
      <c r="AT21">
        <v>4.6900000000000004</v>
      </c>
      <c r="AU21">
        <v>0.91</v>
      </c>
      <c r="BE21">
        <f t="shared" si="0"/>
        <v>78</v>
      </c>
    </row>
    <row r="22" spans="1:57" x14ac:dyDescent="0.25">
      <c r="A22" s="8" t="s">
        <v>268</v>
      </c>
      <c r="B22" t="s">
        <v>51</v>
      </c>
      <c r="N22" t="s">
        <v>7</v>
      </c>
      <c r="O22" t="s">
        <v>7</v>
      </c>
      <c r="P22">
        <v>80</v>
      </c>
      <c r="Q22">
        <v>3</v>
      </c>
      <c r="R22">
        <v>140</v>
      </c>
      <c r="S22" t="s">
        <v>39</v>
      </c>
      <c r="V22">
        <v>1.86</v>
      </c>
      <c r="W22">
        <v>8.32</v>
      </c>
      <c r="X22" t="s">
        <v>8</v>
      </c>
      <c r="Y22">
        <v>91.36</v>
      </c>
      <c r="Z22">
        <v>15.62</v>
      </c>
      <c r="AA22">
        <v>24.47</v>
      </c>
      <c r="AB22">
        <v>27.05</v>
      </c>
      <c r="AC22">
        <v>16.670000000000002</v>
      </c>
      <c r="AD22">
        <v>2.93</v>
      </c>
      <c r="AE22">
        <v>11.59</v>
      </c>
      <c r="AF22">
        <v>3.15</v>
      </c>
      <c r="AG22">
        <v>18.350000000000001</v>
      </c>
      <c r="AH22">
        <v>0.89</v>
      </c>
      <c r="AI22">
        <v>4.6399999999999997</v>
      </c>
      <c r="AJ22">
        <v>3.36</v>
      </c>
      <c r="AK22">
        <v>0.44</v>
      </c>
      <c r="AL22">
        <v>2.78</v>
      </c>
      <c r="AM22">
        <v>0.5</v>
      </c>
      <c r="AN22">
        <v>1.7</v>
      </c>
      <c r="AO22">
        <v>0.26</v>
      </c>
      <c r="AP22">
        <v>1.78</v>
      </c>
      <c r="AQ22">
        <v>0.37</v>
      </c>
      <c r="AR22">
        <v>1.91</v>
      </c>
      <c r="AS22" t="s">
        <v>37</v>
      </c>
      <c r="AT22">
        <v>31</v>
      </c>
      <c r="AU22">
        <v>3.64</v>
      </c>
      <c r="BE22">
        <f t="shared" si="0"/>
        <v>26.38</v>
      </c>
    </row>
    <row r="23" spans="1:57" x14ac:dyDescent="0.25">
      <c r="A23" s="7" t="s">
        <v>266</v>
      </c>
      <c r="B23" t="s">
        <v>106</v>
      </c>
      <c r="C23">
        <v>69.14</v>
      </c>
      <c r="D23">
        <v>19.329999999999998</v>
      </c>
      <c r="E23">
        <v>0.77</v>
      </c>
      <c r="F23">
        <v>0.25</v>
      </c>
      <c r="G23">
        <v>0.1</v>
      </c>
      <c r="H23">
        <v>5.54</v>
      </c>
      <c r="I23">
        <v>2.69</v>
      </c>
      <c r="J23">
        <v>0.02</v>
      </c>
      <c r="K23">
        <v>0.03</v>
      </c>
      <c r="L23">
        <v>0.03</v>
      </c>
      <c r="M23">
        <v>1.84</v>
      </c>
      <c r="N23" t="s">
        <v>7</v>
      </c>
      <c r="O23" t="s">
        <v>7</v>
      </c>
      <c r="P23">
        <v>25</v>
      </c>
      <c r="R23">
        <v>27.47</v>
      </c>
      <c r="T23">
        <v>1.97</v>
      </c>
      <c r="U23">
        <v>7.22</v>
      </c>
      <c r="V23">
        <v>4.82</v>
      </c>
      <c r="W23">
        <v>9.56</v>
      </c>
      <c r="Y23">
        <v>354.83</v>
      </c>
      <c r="Z23">
        <v>4.26</v>
      </c>
      <c r="AA23">
        <v>103.25</v>
      </c>
      <c r="AB23">
        <v>1.74</v>
      </c>
      <c r="AC23">
        <v>9.9700000000000006</v>
      </c>
      <c r="AD23">
        <v>5.68</v>
      </c>
      <c r="AE23">
        <v>9.8800000000000008</v>
      </c>
      <c r="AF23">
        <v>1.08</v>
      </c>
      <c r="AG23">
        <v>3.47</v>
      </c>
      <c r="AH23">
        <v>0.1</v>
      </c>
      <c r="AI23">
        <v>0.74</v>
      </c>
      <c r="AJ23">
        <v>0.64</v>
      </c>
      <c r="AK23">
        <v>0.11</v>
      </c>
      <c r="AL23">
        <v>0.7</v>
      </c>
      <c r="AM23">
        <v>0.13</v>
      </c>
      <c r="AN23">
        <v>0.35</v>
      </c>
      <c r="AO23">
        <v>0.06</v>
      </c>
      <c r="AP23">
        <v>0.35</v>
      </c>
      <c r="AQ23">
        <v>0.05</v>
      </c>
      <c r="AR23">
        <v>18.55</v>
      </c>
      <c r="AS23">
        <v>7.67</v>
      </c>
      <c r="AT23">
        <v>6.4</v>
      </c>
      <c r="AU23">
        <v>3.15</v>
      </c>
      <c r="AV23">
        <v>4.0599999999999996</v>
      </c>
      <c r="AW23">
        <v>34.54</v>
      </c>
      <c r="AX23">
        <v>2.91</v>
      </c>
      <c r="AY23">
        <v>32.46</v>
      </c>
      <c r="AZ23">
        <v>84.16</v>
      </c>
      <c r="BA23">
        <v>10</v>
      </c>
      <c r="BB23">
        <v>10</v>
      </c>
      <c r="BC23">
        <v>25</v>
      </c>
      <c r="BE23">
        <f t="shared" si="0"/>
        <v>121.8</v>
      </c>
    </row>
    <row r="24" spans="1:57" x14ac:dyDescent="0.25">
      <c r="A24" s="7" t="s">
        <v>266</v>
      </c>
      <c r="B24" t="s">
        <v>107</v>
      </c>
      <c r="C24">
        <v>46.39</v>
      </c>
      <c r="D24">
        <v>8.73</v>
      </c>
      <c r="E24">
        <v>10.29</v>
      </c>
      <c r="F24">
        <v>6.12</v>
      </c>
      <c r="G24">
        <v>21.84</v>
      </c>
      <c r="H24">
        <v>0.17</v>
      </c>
      <c r="I24">
        <v>0.06</v>
      </c>
      <c r="J24">
        <v>0.46</v>
      </c>
      <c r="K24">
        <v>0.18</v>
      </c>
      <c r="L24">
        <v>0.16</v>
      </c>
      <c r="M24">
        <v>3.99</v>
      </c>
      <c r="N24">
        <v>10</v>
      </c>
      <c r="O24" t="s">
        <v>7</v>
      </c>
      <c r="P24">
        <v>95</v>
      </c>
      <c r="R24">
        <v>5.74</v>
      </c>
      <c r="T24">
        <v>0.28000000000000003</v>
      </c>
      <c r="U24">
        <v>0.46</v>
      </c>
      <c r="V24" t="s">
        <v>108</v>
      </c>
      <c r="W24">
        <v>11.74</v>
      </c>
      <c r="Y24">
        <v>3.8</v>
      </c>
      <c r="Z24">
        <v>9.11</v>
      </c>
      <c r="AA24">
        <v>9.7200000000000006</v>
      </c>
      <c r="AB24" t="s">
        <v>149</v>
      </c>
      <c r="AC24">
        <v>0.49</v>
      </c>
      <c r="AD24">
        <v>10.72</v>
      </c>
      <c r="AE24">
        <v>23.98</v>
      </c>
      <c r="AF24">
        <v>3.56</v>
      </c>
      <c r="AG24">
        <v>15.62</v>
      </c>
      <c r="AH24">
        <v>0.62</v>
      </c>
      <c r="AI24">
        <v>3.14</v>
      </c>
      <c r="AJ24">
        <v>2.3199999999999998</v>
      </c>
      <c r="AK24">
        <v>0.34</v>
      </c>
      <c r="AL24">
        <v>1.82</v>
      </c>
      <c r="AM24">
        <v>0.35</v>
      </c>
      <c r="AN24">
        <v>0.96</v>
      </c>
      <c r="AO24">
        <v>0.14000000000000001</v>
      </c>
      <c r="AP24">
        <v>0.89</v>
      </c>
      <c r="AQ24">
        <v>0.13</v>
      </c>
      <c r="AR24">
        <v>0.48</v>
      </c>
      <c r="AS24" t="s">
        <v>37</v>
      </c>
      <c r="AT24">
        <v>8.2799999999999994</v>
      </c>
      <c r="AU24">
        <v>1.85</v>
      </c>
      <c r="AV24">
        <v>153.18</v>
      </c>
      <c r="AW24">
        <v>10.1</v>
      </c>
      <c r="AX24">
        <v>2.29</v>
      </c>
      <c r="AY24">
        <v>21.23</v>
      </c>
      <c r="AZ24">
        <v>19.96</v>
      </c>
      <c r="BA24">
        <v>820</v>
      </c>
      <c r="BB24">
        <v>70</v>
      </c>
      <c r="BC24">
        <v>985</v>
      </c>
      <c r="BE24">
        <f t="shared" si="0"/>
        <v>10.200000000000001</v>
      </c>
    </row>
    <row r="25" spans="1:57" x14ac:dyDescent="0.25">
      <c r="A25" s="7" t="s">
        <v>266</v>
      </c>
      <c r="B25" t="s">
        <v>109</v>
      </c>
      <c r="C25">
        <v>68.599999999999994</v>
      </c>
      <c r="D25">
        <v>17.22</v>
      </c>
      <c r="E25">
        <v>0.37</v>
      </c>
      <c r="F25">
        <v>0.59</v>
      </c>
      <c r="G25">
        <v>0.25</v>
      </c>
      <c r="H25">
        <v>7.31</v>
      </c>
      <c r="I25">
        <v>3.21</v>
      </c>
      <c r="J25">
        <v>0.02</v>
      </c>
      <c r="K25">
        <v>0.11</v>
      </c>
      <c r="L25">
        <v>0.27</v>
      </c>
      <c r="M25">
        <v>0.59</v>
      </c>
      <c r="N25" t="s">
        <v>7</v>
      </c>
      <c r="O25">
        <v>15</v>
      </c>
      <c r="P25">
        <v>15</v>
      </c>
      <c r="R25" t="s">
        <v>37</v>
      </c>
      <c r="T25">
        <v>49.33</v>
      </c>
      <c r="U25">
        <v>2.1</v>
      </c>
      <c r="V25">
        <v>68.959999999999994</v>
      </c>
      <c r="W25">
        <v>8.31</v>
      </c>
      <c r="Y25">
        <v>259.18</v>
      </c>
      <c r="Z25">
        <v>2.85</v>
      </c>
      <c r="AA25">
        <v>105.24</v>
      </c>
      <c r="AB25">
        <v>1.32</v>
      </c>
      <c r="AC25">
        <v>17.86</v>
      </c>
      <c r="AD25">
        <v>6.39</v>
      </c>
      <c r="AE25">
        <v>10.74</v>
      </c>
      <c r="AF25">
        <v>1.47</v>
      </c>
      <c r="AG25">
        <v>5.81</v>
      </c>
      <c r="AH25">
        <v>0.28000000000000003</v>
      </c>
      <c r="AI25">
        <v>0.95</v>
      </c>
      <c r="AJ25">
        <v>0.78</v>
      </c>
      <c r="AK25">
        <v>0.11</v>
      </c>
      <c r="AL25">
        <v>0.53</v>
      </c>
      <c r="AM25">
        <v>0.1</v>
      </c>
      <c r="AN25">
        <v>0.27</v>
      </c>
      <c r="AO25">
        <v>0.04</v>
      </c>
      <c r="AP25">
        <v>0.28000000000000003</v>
      </c>
      <c r="AQ25">
        <v>0.04</v>
      </c>
      <c r="AR25">
        <v>81.42</v>
      </c>
      <c r="AS25">
        <v>6.75</v>
      </c>
      <c r="AT25">
        <v>8.85</v>
      </c>
      <c r="AU25">
        <v>3.8</v>
      </c>
      <c r="AV25">
        <v>4.5999999999999996</v>
      </c>
      <c r="AW25">
        <v>44.27</v>
      </c>
      <c r="AX25">
        <v>5.08</v>
      </c>
      <c r="AY25">
        <v>46.03</v>
      </c>
      <c r="AZ25">
        <v>186.27</v>
      </c>
      <c r="BA25">
        <v>15</v>
      </c>
      <c r="BB25" t="s">
        <v>7</v>
      </c>
      <c r="BC25">
        <v>70</v>
      </c>
      <c r="BE25">
        <f t="shared" si="0"/>
        <v>186.66</v>
      </c>
    </row>
    <row r="26" spans="1:57" x14ac:dyDescent="0.25">
      <c r="A26" s="7" t="s">
        <v>266</v>
      </c>
      <c r="B26" t="s">
        <v>110</v>
      </c>
      <c r="C26">
        <v>71.650000000000006</v>
      </c>
      <c r="D26">
        <v>15.91</v>
      </c>
      <c r="E26">
        <v>0.65</v>
      </c>
      <c r="F26">
        <v>0.21</v>
      </c>
      <c r="G26">
        <v>0.05</v>
      </c>
      <c r="H26">
        <v>4.28</v>
      </c>
      <c r="I26">
        <v>4.62</v>
      </c>
      <c r="J26">
        <v>0.01</v>
      </c>
      <c r="K26">
        <v>0.06</v>
      </c>
      <c r="L26">
        <v>0.16</v>
      </c>
      <c r="M26">
        <v>0.65</v>
      </c>
      <c r="N26">
        <v>25</v>
      </c>
      <c r="O26">
        <v>10</v>
      </c>
      <c r="P26">
        <v>55</v>
      </c>
      <c r="R26">
        <v>124.67</v>
      </c>
      <c r="T26">
        <v>44.38</v>
      </c>
      <c r="U26">
        <v>36.31</v>
      </c>
      <c r="V26">
        <v>46.1</v>
      </c>
      <c r="W26">
        <v>8.75</v>
      </c>
      <c r="Y26">
        <v>755.8</v>
      </c>
      <c r="Z26">
        <v>0.49</v>
      </c>
      <c r="AA26">
        <v>65.22</v>
      </c>
      <c r="AB26">
        <v>4.4000000000000004</v>
      </c>
      <c r="AC26">
        <v>31.73</v>
      </c>
      <c r="AD26">
        <v>1.1499999999999999</v>
      </c>
      <c r="AE26">
        <v>1.77</v>
      </c>
      <c r="AF26">
        <v>0.17</v>
      </c>
      <c r="AG26">
        <v>0.53</v>
      </c>
      <c r="AH26">
        <v>0.03</v>
      </c>
      <c r="AI26">
        <v>0.11</v>
      </c>
      <c r="AJ26">
        <v>7.0000000000000007E-2</v>
      </c>
      <c r="AK26">
        <v>0.01</v>
      </c>
      <c r="AL26">
        <v>7.0000000000000007E-2</v>
      </c>
      <c r="AM26">
        <v>0.05</v>
      </c>
      <c r="AN26">
        <v>0.03</v>
      </c>
      <c r="AO26">
        <v>0.01</v>
      </c>
      <c r="AP26">
        <v>7.0000000000000007E-2</v>
      </c>
      <c r="AQ26">
        <v>0.01</v>
      </c>
      <c r="AR26">
        <v>63.64</v>
      </c>
      <c r="AS26">
        <v>19.3</v>
      </c>
      <c r="AT26">
        <v>10.46</v>
      </c>
      <c r="AU26">
        <v>9.3800000000000008</v>
      </c>
      <c r="AV26">
        <v>2.14</v>
      </c>
      <c r="AW26">
        <v>24.48</v>
      </c>
      <c r="AX26">
        <v>4.4000000000000004</v>
      </c>
      <c r="AY26">
        <v>15.66</v>
      </c>
      <c r="AZ26">
        <v>23.45</v>
      </c>
      <c r="BA26" t="s">
        <v>7</v>
      </c>
      <c r="BB26" t="s">
        <v>7</v>
      </c>
      <c r="BC26">
        <v>20</v>
      </c>
      <c r="BE26">
        <f t="shared" si="0"/>
        <v>128.86000000000001</v>
      </c>
    </row>
    <row r="27" spans="1:57" x14ac:dyDescent="0.25">
      <c r="A27" s="7" t="s">
        <v>266</v>
      </c>
      <c r="B27" t="s">
        <v>111</v>
      </c>
      <c r="C27">
        <v>72.959999999999994</v>
      </c>
      <c r="D27">
        <v>15.89</v>
      </c>
      <c r="E27">
        <v>0.45</v>
      </c>
      <c r="F27">
        <v>0.32</v>
      </c>
      <c r="G27" t="s">
        <v>195</v>
      </c>
      <c r="H27">
        <v>5.2</v>
      </c>
      <c r="I27">
        <v>4.33</v>
      </c>
      <c r="J27">
        <v>0.01</v>
      </c>
      <c r="K27">
        <v>0.1</v>
      </c>
      <c r="L27">
        <v>0.11</v>
      </c>
      <c r="M27">
        <v>0.4</v>
      </c>
      <c r="N27" t="s">
        <v>7</v>
      </c>
      <c r="O27">
        <v>15</v>
      </c>
      <c r="P27">
        <v>35</v>
      </c>
      <c r="R27">
        <v>19.96</v>
      </c>
      <c r="T27">
        <v>6.7</v>
      </c>
      <c r="U27">
        <v>4.99</v>
      </c>
      <c r="V27">
        <v>7.49</v>
      </c>
      <c r="W27">
        <v>9.2899999999999991</v>
      </c>
      <c r="Y27">
        <v>730.15</v>
      </c>
      <c r="Z27">
        <v>6.87</v>
      </c>
      <c r="AA27">
        <v>99.86</v>
      </c>
      <c r="AB27">
        <v>4.58</v>
      </c>
      <c r="AC27">
        <v>17.2</v>
      </c>
      <c r="AD27">
        <v>3.45</v>
      </c>
      <c r="AE27">
        <v>6.37</v>
      </c>
      <c r="AF27">
        <v>0.79</v>
      </c>
      <c r="AG27">
        <v>2.42</v>
      </c>
      <c r="AH27">
        <v>0.04</v>
      </c>
      <c r="AI27">
        <v>0.94</v>
      </c>
      <c r="AJ27">
        <v>0.82</v>
      </c>
      <c r="AK27">
        <v>0.22</v>
      </c>
      <c r="AL27">
        <v>1.19</v>
      </c>
      <c r="AM27">
        <v>0.17</v>
      </c>
      <c r="AN27">
        <v>0.39</v>
      </c>
      <c r="AO27">
        <v>7.0000000000000007E-2</v>
      </c>
      <c r="AP27">
        <v>0.46</v>
      </c>
      <c r="AQ27">
        <v>0.06</v>
      </c>
      <c r="AR27">
        <v>39.1</v>
      </c>
      <c r="AS27">
        <v>5.62</v>
      </c>
      <c r="AT27">
        <v>11.61</v>
      </c>
      <c r="AU27">
        <v>3.87</v>
      </c>
      <c r="AV27" t="s">
        <v>108</v>
      </c>
      <c r="AW27">
        <v>21.37</v>
      </c>
      <c r="AX27">
        <v>3.84</v>
      </c>
      <c r="AY27">
        <v>13.36</v>
      </c>
      <c r="AZ27">
        <v>30.52</v>
      </c>
      <c r="BA27" t="s">
        <v>7</v>
      </c>
      <c r="BB27" t="s">
        <v>7</v>
      </c>
      <c r="BC27">
        <v>20</v>
      </c>
      <c r="BE27">
        <f t="shared" si="0"/>
        <v>138.96</v>
      </c>
    </row>
    <row r="28" spans="1:57" x14ac:dyDescent="0.25">
      <c r="A28" s="7" t="s">
        <v>266</v>
      </c>
      <c r="B28" t="s">
        <v>112</v>
      </c>
      <c r="C28">
        <v>67.45</v>
      </c>
      <c r="D28">
        <v>17.48</v>
      </c>
      <c r="E28">
        <v>0.15</v>
      </c>
      <c r="F28">
        <v>0.12</v>
      </c>
      <c r="G28" t="s">
        <v>195</v>
      </c>
      <c r="H28">
        <v>2.46</v>
      </c>
      <c r="I28">
        <v>11.02</v>
      </c>
      <c r="J28">
        <v>0.01</v>
      </c>
      <c r="K28">
        <v>0.01</v>
      </c>
      <c r="L28">
        <v>0.03</v>
      </c>
      <c r="M28">
        <v>0.52</v>
      </c>
      <c r="N28" t="s">
        <v>7</v>
      </c>
      <c r="O28">
        <v>40</v>
      </c>
      <c r="P28">
        <v>10</v>
      </c>
      <c r="R28">
        <v>18.84</v>
      </c>
      <c r="T28">
        <v>0.88</v>
      </c>
      <c r="U28">
        <v>1.1200000000000001</v>
      </c>
      <c r="V28">
        <v>5.31</v>
      </c>
      <c r="W28">
        <v>8.02</v>
      </c>
      <c r="Y28">
        <v>1160.94</v>
      </c>
      <c r="Z28">
        <v>0.96</v>
      </c>
      <c r="AA28">
        <v>20.73</v>
      </c>
      <c r="AB28">
        <v>0.3</v>
      </c>
      <c r="AC28">
        <v>35.200000000000003</v>
      </c>
      <c r="AD28">
        <v>3.12</v>
      </c>
      <c r="AE28">
        <v>4.67</v>
      </c>
      <c r="AF28">
        <v>0.54</v>
      </c>
      <c r="AG28">
        <v>1.86</v>
      </c>
      <c r="AH28">
        <v>0.16</v>
      </c>
      <c r="AI28">
        <v>0.31</v>
      </c>
      <c r="AJ28">
        <v>0.25</v>
      </c>
      <c r="AK28">
        <v>0.04</v>
      </c>
      <c r="AL28">
        <v>0.23</v>
      </c>
      <c r="AM28">
        <v>0.04</v>
      </c>
      <c r="AN28">
        <v>0.09</v>
      </c>
      <c r="AO28">
        <v>0.01</v>
      </c>
      <c r="AP28">
        <v>0.1</v>
      </c>
      <c r="AQ28">
        <v>0.02</v>
      </c>
      <c r="AR28">
        <v>13.19</v>
      </c>
      <c r="AS28" t="s">
        <v>37</v>
      </c>
      <c r="AT28">
        <v>1.92</v>
      </c>
      <c r="AU28">
        <v>3.06</v>
      </c>
      <c r="AV28">
        <v>1.53</v>
      </c>
      <c r="AW28">
        <v>20.57</v>
      </c>
      <c r="AX28">
        <v>3.76</v>
      </c>
      <c r="AY28">
        <v>30</v>
      </c>
      <c r="AZ28">
        <v>193.61</v>
      </c>
      <c r="BA28">
        <v>10</v>
      </c>
      <c r="BB28" t="s">
        <v>7</v>
      </c>
      <c r="BC28">
        <v>20</v>
      </c>
      <c r="BE28">
        <f t="shared" si="0"/>
        <v>33.92</v>
      </c>
    </row>
    <row r="29" spans="1:57" x14ac:dyDescent="0.25">
      <c r="A29" s="8" t="s">
        <v>276</v>
      </c>
      <c r="B29" t="s">
        <v>118</v>
      </c>
      <c r="N29">
        <v>10</v>
      </c>
      <c r="O29">
        <v>20</v>
      </c>
      <c r="P29">
        <v>60</v>
      </c>
      <c r="Q29">
        <v>2</v>
      </c>
      <c r="R29">
        <v>20</v>
      </c>
      <c r="S29" t="s">
        <v>39</v>
      </c>
      <c r="V29">
        <v>1.39</v>
      </c>
      <c r="W29">
        <v>13.15</v>
      </c>
      <c r="X29">
        <v>2.56</v>
      </c>
      <c r="Y29">
        <v>70.709999999999994</v>
      </c>
      <c r="Z29">
        <v>24.21</v>
      </c>
      <c r="AA29">
        <v>10.44</v>
      </c>
      <c r="AB29" t="s">
        <v>37</v>
      </c>
      <c r="AC29">
        <v>6.66</v>
      </c>
      <c r="AD29">
        <v>38.65</v>
      </c>
      <c r="AE29">
        <v>66.28</v>
      </c>
      <c r="AF29">
        <v>7.29</v>
      </c>
      <c r="AG29">
        <v>26.74</v>
      </c>
      <c r="AH29">
        <v>2.2400000000000002</v>
      </c>
      <c r="AI29">
        <v>4.7300000000000004</v>
      </c>
      <c r="AJ29">
        <v>4.2300000000000004</v>
      </c>
      <c r="AK29">
        <v>0.67</v>
      </c>
      <c r="AL29">
        <v>4.17</v>
      </c>
      <c r="AM29">
        <v>0.9</v>
      </c>
      <c r="AN29">
        <v>2.87</v>
      </c>
      <c r="AO29">
        <v>0.51</v>
      </c>
      <c r="AP29">
        <v>3.83</v>
      </c>
      <c r="AQ29">
        <v>0.66</v>
      </c>
      <c r="AR29">
        <v>0.71</v>
      </c>
      <c r="AS29" t="s">
        <v>37</v>
      </c>
      <c r="AT29">
        <v>13.37</v>
      </c>
      <c r="AU29">
        <v>2.65</v>
      </c>
      <c r="BE29">
        <f t="shared" si="0"/>
        <v>11.149999999999999</v>
      </c>
    </row>
    <row r="30" spans="1:57" x14ac:dyDescent="0.25">
      <c r="A30" s="8" t="s">
        <v>276</v>
      </c>
      <c r="B30" t="s">
        <v>119</v>
      </c>
      <c r="N30">
        <v>30</v>
      </c>
      <c r="O30" t="s">
        <v>7</v>
      </c>
      <c r="P30">
        <v>70</v>
      </c>
      <c r="Q30">
        <v>2</v>
      </c>
      <c r="R30" t="s">
        <v>37</v>
      </c>
      <c r="S30" t="s">
        <v>39</v>
      </c>
      <c r="V30">
        <v>1.26</v>
      </c>
      <c r="W30">
        <v>12.02</v>
      </c>
      <c r="X30">
        <v>2.73</v>
      </c>
      <c r="Y30">
        <v>36.18</v>
      </c>
      <c r="Z30">
        <v>25.12</v>
      </c>
      <c r="AA30">
        <v>11.95</v>
      </c>
      <c r="AB30" t="s">
        <v>37</v>
      </c>
      <c r="AC30">
        <v>3.4</v>
      </c>
      <c r="AD30">
        <v>21.49</v>
      </c>
      <c r="AE30">
        <v>43.17</v>
      </c>
      <c r="AF30">
        <v>5.58</v>
      </c>
      <c r="AG30">
        <v>23.68</v>
      </c>
      <c r="AH30">
        <v>1.83</v>
      </c>
      <c r="AI30">
        <v>5.22</v>
      </c>
      <c r="AJ30">
        <v>4.82</v>
      </c>
      <c r="AK30">
        <v>0.83</v>
      </c>
      <c r="AL30">
        <v>4.82</v>
      </c>
      <c r="AM30">
        <v>0.98</v>
      </c>
      <c r="AN30">
        <v>2.82</v>
      </c>
      <c r="AO30">
        <v>0.43</v>
      </c>
      <c r="AP30">
        <v>2.91</v>
      </c>
      <c r="AQ30">
        <v>0.44</v>
      </c>
      <c r="AR30">
        <v>0.6</v>
      </c>
      <c r="AS30" t="s">
        <v>37</v>
      </c>
      <c r="AT30">
        <v>2.79</v>
      </c>
      <c r="AU30">
        <v>1.2</v>
      </c>
      <c r="BE30">
        <f t="shared" si="0"/>
        <v>12.549999999999999</v>
      </c>
    </row>
    <row r="31" spans="1:57" x14ac:dyDescent="0.25">
      <c r="A31" s="8" t="s">
        <v>276</v>
      </c>
      <c r="B31" t="s">
        <v>120</v>
      </c>
      <c r="N31" t="s">
        <v>7</v>
      </c>
      <c r="O31" t="s">
        <v>7</v>
      </c>
      <c r="P31" t="s">
        <v>7</v>
      </c>
      <c r="Q31" t="s">
        <v>8</v>
      </c>
      <c r="R31">
        <v>5</v>
      </c>
      <c r="S31" t="s">
        <v>39</v>
      </c>
      <c r="V31">
        <v>2.31</v>
      </c>
      <c r="W31">
        <v>13.08</v>
      </c>
      <c r="X31" t="s">
        <v>8</v>
      </c>
      <c r="Y31">
        <v>9.32</v>
      </c>
      <c r="Z31">
        <v>1.18</v>
      </c>
      <c r="AA31">
        <v>3.48</v>
      </c>
      <c r="AB31" t="s">
        <v>37</v>
      </c>
      <c r="AC31">
        <v>0.73</v>
      </c>
      <c r="AD31" t="s">
        <v>108</v>
      </c>
      <c r="AE31" t="s">
        <v>8</v>
      </c>
      <c r="AF31" t="s">
        <v>130</v>
      </c>
      <c r="AG31" t="s">
        <v>131</v>
      </c>
      <c r="AH31" t="s">
        <v>132</v>
      </c>
      <c r="AI31" t="s">
        <v>130</v>
      </c>
      <c r="AJ31">
        <v>0.06</v>
      </c>
      <c r="AK31">
        <v>0.02</v>
      </c>
      <c r="AL31">
        <v>0.19</v>
      </c>
      <c r="AM31">
        <v>0.05</v>
      </c>
      <c r="AN31">
        <v>0.11</v>
      </c>
      <c r="AO31">
        <v>0.02</v>
      </c>
      <c r="AP31">
        <v>0.13</v>
      </c>
      <c r="AQ31">
        <v>0.02</v>
      </c>
      <c r="AR31" t="s">
        <v>133</v>
      </c>
      <c r="AS31" t="s">
        <v>37</v>
      </c>
      <c r="AT31" t="s">
        <v>133</v>
      </c>
      <c r="AU31" t="s">
        <v>134</v>
      </c>
      <c r="BE31" t="e">
        <f>AR31+AA31</f>
        <v>#VALUE!</v>
      </c>
    </row>
    <row r="32" spans="1:57" x14ac:dyDescent="0.25">
      <c r="A32" s="8" t="s">
        <v>276</v>
      </c>
      <c r="B32" t="s">
        <v>121</v>
      </c>
      <c r="N32">
        <v>15</v>
      </c>
      <c r="O32">
        <v>25</v>
      </c>
      <c r="P32">
        <v>10</v>
      </c>
      <c r="Q32" t="s">
        <v>8</v>
      </c>
      <c r="R32">
        <v>5</v>
      </c>
      <c r="S32" t="s">
        <v>39</v>
      </c>
      <c r="V32">
        <v>105.94</v>
      </c>
      <c r="W32">
        <v>8.8800000000000008</v>
      </c>
      <c r="X32">
        <v>3.6</v>
      </c>
      <c r="Y32">
        <v>496.79</v>
      </c>
      <c r="Z32">
        <v>4.3499999999999996</v>
      </c>
      <c r="AA32">
        <v>145.53</v>
      </c>
      <c r="AB32" t="s">
        <v>37</v>
      </c>
      <c r="AC32">
        <v>16.670000000000002</v>
      </c>
      <c r="AD32">
        <v>5.0999999999999996</v>
      </c>
      <c r="AE32">
        <v>4.79</v>
      </c>
      <c r="AF32">
        <v>0.87</v>
      </c>
      <c r="AG32">
        <v>2.9</v>
      </c>
      <c r="AH32">
        <v>0.14000000000000001</v>
      </c>
      <c r="AI32">
        <v>0.52</v>
      </c>
      <c r="AJ32">
        <v>0.45</v>
      </c>
      <c r="AK32">
        <v>0.09</v>
      </c>
      <c r="AL32">
        <v>0.56000000000000005</v>
      </c>
      <c r="AM32">
        <v>0.11</v>
      </c>
      <c r="AN32">
        <v>0.31</v>
      </c>
      <c r="AO32">
        <v>0.05</v>
      </c>
      <c r="AP32">
        <v>0.41</v>
      </c>
      <c r="AQ32">
        <v>0.05</v>
      </c>
      <c r="AR32">
        <v>106.37</v>
      </c>
      <c r="AS32">
        <v>9.1199999999999992</v>
      </c>
      <c r="AT32">
        <v>18.170000000000002</v>
      </c>
      <c r="AU32">
        <v>7.27</v>
      </c>
      <c r="BE32">
        <f t="shared" si="0"/>
        <v>251.9</v>
      </c>
    </row>
    <row r="33" spans="1:57" x14ac:dyDescent="0.25">
      <c r="A33" s="8" t="s">
        <v>276</v>
      </c>
      <c r="B33" t="s">
        <v>122</v>
      </c>
      <c r="N33">
        <v>10</v>
      </c>
      <c r="O33">
        <v>30</v>
      </c>
      <c r="P33" t="s">
        <v>7</v>
      </c>
      <c r="Q33" t="s">
        <v>8</v>
      </c>
      <c r="R33">
        <v>15</v>
      </c>
      <c r="S33" t="s">
        <v>39</v>
      </c>
      <c r="V33">
        <v>614.69000000000005</v>
      </c>
      <c r="W33">
        <v>9.23</v>
      </c>
      <c r="X33">
        <v>3.01</v>
      </c>
      <c r="Y33">
        <v>1119.74</v>
      </c>
      <c r="Z33">
        <v>1.74</v>
      </c>
      <c r="AA33">
        <v>46.03</v>
      </c>
      <c r="AB33" t="s">
        <v>37</v>
      </c>
      <c r="AC33">
        <v>50.4</v>
      </c>
      <c r="AD33">
        <v>1.76</v>
      </c>
      <c r="AE33">
        <v>1.54</v>
      </c>
      <c r="AF33">
        <v>0.24</v>
      </c>
      <c r="AG33">
        <v>0.82</v>
      </c>
      <c r="AH33">
        <v>0.12</v>
      </c>
      <c r="AI33">
        <v>0.19</v>
      </c>
      <c r="AJ33">
        <v>0.19</v>
      </c>
      <c r="AK33">
        <v>0.04</v>
      </c>
      <c r="AL33">
        <v>0.26</v>
      </c>
      <c r="AM33">
        <v>0.05</v>
      </c>
      <c r="AN33">
        <v>0.11</v>
      </c>
      <c r="AO33">
        <v>0.01</v>
      </c>
      <c r="AP33">
        <v>0.12</v>
      </c>
      <c r="AQ33">
        <v>0.01</v>
      </c>
      <c r="AR33">
        <v>26.68</v>
      </c>
      <c r="AS33" t="s">
        <v>37</v>
      </c>
      <c r="AT33">
        <v>17.66</v>
      </c>
      <c r="AU33">
        <v>2.34</v>
      </c>
      <c r="BE33">
        <f t="shared" si="0"/>
        <v>72.710000000000008</v>
      </c>
    </row>
    <row r="34" spans="1:57" x14ac:dyDescent="0.25">
      <c r="A34" s="8" t="s">
        <v>276</v>
      </c>
      <c r="B34" t="s">
        <v>123</v>
      </c>
      <c r="N34">
        <v>10</v>
      </c>
      <c r="O34">
        <v>10</v>
      </c>
      <c r="P34">
        <v>10</v>
      </c>
      <c r="Q34" t="s">
        <v>8</v>
      </c>
      <c r="R34">
        <v>35</v>
      </c>
      <c r="S34" t="s">
        <v>39</v>
      </c>
      <c r="V34">
        <v>4.09</v>
      </c>
      <c r="W34">
        <v>10.95</v>
      </c>
      <c r="X34">
        <v>4.9800000000000004</v>
      </c>
      <c r="Y34">
        <v>202.15</v>
      </c>
      <c r="Z34">
        <v>13.01</v>
      </c>
      <c r="AA34">
        <v>14.31</v>
      </c>
      <c r="AB34" t="s">
        <v>37</v>
      </c>
      <c r="AC34">
        <v>15.59</v>
      </c>
      <c r="AD34">
        <v>19.72</v>
      </c>
      <c r="AE34">
        <v>42.12</v>
      </c>
      <c r="AF34">
        <v>4.38</v>
      </c>
      <c r="AG34">
        <v>16.75</v>
      </c>
      <c r="AH34">
        <v>0.9</v>
      </c>
      <c r="AI34">
        <v>3.24</v>
      </c>
      <c r="AJ34">
        <v>2.84</v>
      </c>
      <c r="AK34">
        <v>0.47</v>
      </c>
      <c r="AL34">
        <v>2.54</v>
      </c>
      <c r="AM34">
        <v>0.47</v>
      </c>
      <c r="AN34">
        <v>1.4</v>
      </c>
      <c r="AO34">
        <v>0.2</v>
      </c>
      <c r="AP34">
        <v>1.34</v>
      </c>
      <c r="AQ34">
        <v>0.2</v>
      </c>
      <c r="AR34">
        <v>1.35</v>
      </c>
      <c r="AS34" t="s">
        <v>37</v>
      </c>
      <c r="AT34">
        <v>11.25</v>
      </c>
      <c r="AU34">
        <v>5.91</v>
      </c>
      <c r="BE34">
        <f t="shared" si="0"/>
        <v>15.66</v>
      </c>
    </row>
    <row r="35" spans="1:57" x14ac:dyDescent="0.25">
      <c r="A35" s="8" t="s">
        <v>276</v>
      </c>
      <c r="B35" t="s">
        <v>124</v>
      </c>
      <c r="N35">
        <v>10</v>
      </c>
      <c r="O35">
        <v>30</v>
      </c>
      <c r="P35">
        <v>25</v>
      </c>
      <c r="Q35" t="s">
        <v>8</v>
      </c>
      <c r="R35">
        <v>35</v>
      </c>
      <c r="S35" t="s">
        <v>39</v>
      </c>
      <c r="V35">
        <v>57.92</v>
      </c>
      <c r="W35">
        <v>8.06</v>
      </c>
      <c r="X35">
        <v>2.19</v>
      </c>
      <c r="Y35">
        <v>509.43</v>
      </c>
      <c r="Z35">
        <v>0.62</v>
      </c>
      <c r="AA35">
        <v>145.24</v>
      </c>
      <c r="AB35">
        <v>5.36</v>
      </c>
      <c r="AC35">
        <v>35.79</v>
      </c>
      <c r="AD35">
        <v>1.7</v>
      </c>
      <c r="AE35">
        <v>2.76</v>
      </c>
      <c r="AF35">
        <v>0.3</v>
      </c>
      <c r="AG35">
        <v>0.92</v>
      </c>
      <c r="AH35">
        <v>7.0000000000000007E-2</v>
      </c>
      <c r="AI35">
        <v>0.17</v>
      </c>
      <c r="AJ35">
        <v>0.13</v>
      </c>
      <c r="AK35">
        <v>0.02</v>
      </c>
      <c r="AL35">
        <v>7.0000000000000007E-2</v>
      </c>
      <c r="AM35">
        <v>0.02</v>
      </c>
      <c r="AN35">
        <v>0.04</v>
      </c>
      <c r="AO35">
        <v>0.01</v>
      </c>
      <c r="AP35">
        <v>0.09</v>
      </c>
      <c r="AQ35">
        <v>0.01</v>
      </c>
      <c r="AR35">
        <v>184.58</v>
      </c>
      <c r="AS35">
        <v>10.029999999999999</v>
      </c>
      <c r="AT35">
        <v>12.15</v>
      </c>
      <c r="AU35">
        <v>21.05</v>
      </c>
      <c r="BE35">
        <f t="shared" si="0"/>
        <v>329.82000000000005</v>
      </c>
    </row>
    <row r="36" spans="1:57" x14ac:dyDescent="0.25">
      <c r="A36" s="8" t="s">
        <v>276</v>
      </c>
      <c r="B36" t="s">
        <v>125</v>
      </c>
      <c r="N36">
        <v>15</v>
      </c>
      <c r="O36">
        <v>20</v>
      </c>
      <c r="P36">
        <v>35</v>
      </c>
      <c r="Q36" t="s">
        <v>8</v>
      </c>
      <c r="R36">
        <v>160</v>
      </c>
      <c r="S36" t="s">
        <v>39</v>
      </c>
      <c r="V36">
        <v>57.86</v>
      </c>
      <c r="W36">
        <v>8.34</v>
      </c>
      <c r="X36" t="s">
        <v>8</v>
      </c>
      <c r="Y36">
        <v>743.26</v>
      </c>
      <c r="Z36">
        <v>0.76</v>
      </c>
      <c r="AA36">
        <v>132.72999999999999</v>
      </c>
      <c r="AB36">
        <v>6.94</v>
      </c>
      <c r="AC36">
        <v>28.57</v>
      </c>
      <c r="AD36">
        <v>1.02</v>
      </c>
      <c r="AE36">
        <v>1.33</v>
      </c>
      <c r="AF36">
        <v>0.09</v>
      </c>
      <c r="AG36">
        <v>0.2</v>
      </c>
      <c r="AH36">
        <v>0.01</v>
      </c>
      <c r="AI36">
        <v>0.04</v>
      </c>
      <c r="AJ36">
        <v>0.01</v>
      </c>
      <c r="AK36">
        <v>0.01</v>
      </c>
      <c r="AL36">
        <v>0.04</v>
      </c>
      <c r="AM36">
        <v>0.02</v>
      </c>
      <c r="AN36">
        <v>0.04</v>
      </c>
      <c r="AO36">
        <v>0.01</v>
      </c>
      <c r="AP36">
        <v>0.11</v>
      </c>
      <c r="AQ36">
        <v>0.02</v>
      </c>
      <c r="AR36">
        <v>69.489999999999995</v>
      </c>
      <c r="AS36">
        <v>6.34</v>
      </c>
      <c r="AT36">
        <v>6.94</v>
      </c>
      <c r="AU36">
        <v>121.21</v>
      </c>
      <c r="BE36">
        <f t="shared" si="0"/>
        <v>202.21999999999997</v>
      </c>
    </row>
    <row r="37" spans="1:57" x14ac:dyDescent="0.25">
      <c r="A37" s="8" t="s">
        <v>276</v>
      </c>
      <c r="B37" s="1" t="s">
        <v>126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>
        <v>15</v>
      </c>
      <c r="O37">
        <v>50</v>
      </c>
      <c r="P37">
        <v>50</v>
      </c>
      <c r="Q37">
        <v>2</v>
      </c>
      <c r="R37">
        <v>490</v>
      </c>
      <c r="S37" t="s">
        <v>39</v>
      </c>
      <c r="V37">
        <v>20.440000000000001</v>
      </c>
      <c r="W37">
        <v>9.3800000000000008</v>
      </c>
      <c r="X37" t="s">
        <v>8</v>
      </c>
      <c r="Y37">
        <v>735.13</v>
      </c>
      <c r="Z37">
        <v>18.12</v>
      </c>
      <c r="AA37">
        <v>39.04</v>
      </c>
      <c r="AB37">
        <v>11.98</v>
      </c>
      <c r="AC37">
        <v>80.27</v>
      </c>
      <c r="AD37">
        <v>18.93</v>
      </c>
      <c r="AE37">
        <v>37.119999999999997</v>
      </c>
      <c r="AF37">
        <v>4.2699999999999996</v>
      </c>
      <c r="AG37">
        <v>14.72</v>
      </c>
      <c r="AH37">
        <v>0.4</v>
      </c>
      <c r="AI37">
        <v>3.48</v>
      </c>
      <c r="AJ37">
        <v>3.27</v>
      </c>
      <c r="AK37">
        <v>0.61</v>
      </c>
      <c r="AL37">
        <v>3.5</v>
      </c>
      <c r="AM37">
        <v>0.56999999999999995</v>
      </c>
      <c r="AN37">
        <v>1.37</v>
      </c>
      <c r="AO37">
        <v>0.21</v>
      </c>
      <c r="AP37">
        <v>1.17</v>
      </c>
      <c r="AQ37">
        <v>0.15</v>
      </c>
      <c r="AR37">
        <v>17.09</v>
      </c>
      <c r="AS37">
        <v>10.71</v>
      </c>
      <c r="AT37">
        <v>18.54</v>
      </c>
      <c r="AU37">
        <v>4.63</v>
      </c>
      <c r="BE37">
        <f t="shared" si="0"/>
        <v>56.129999999999995</v>
      </c>
    </row>
    <row r="38" spans="1:57" x14ac:dyDescent="0.25">
      <c r="A38" s="8" t="s">
        <v>276</v>
      </c>
      <c r="B38" s="1" t="s">
        <v>127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>
        <v>10</v>
      </c>
      <c r="O38">
        <v>20</v>
      </c>
      <c r="P38">
        <v>20</v>
      </c>
      <c r="Q38" t="s">
        <v>8</v>
      </c>
      <c r="R38">
        <v>250</v>
      </c>
      <c r="S38" t="s">
        <v>39</v>
      </c>
      <c r="V38">
        <v>13.64</v>
      </c>
      <c r="W38">
        <v>8.33</v>
      </c>
      <c r="X38">
        <v>2</v>
      </c>
      <c r="Y38">
        <v>464.14</v>
      </c>
      <c r="Z38">
        <v>7.41</v>
      </c>
      <c r="AA38">
        <v>23.96</v>
      </c>
      <c r="AB38">
        <v>8.01</v>
      </c>
      <c r="AC38">
        <v>43.91</v>
      </c>
      <c r="AD38">
        <v>4.87</v>
      </c>
      <c r="AE38">
        <v>9.1199999999999992</v>
      </c>
      <c r="AF38">
        <v>0.97</v>
      </c>
      <c r="AG38">
        <v>3.01</v>
      </c>
      <c r="AH38">
        <v>0.12</v>
      </c>
      <c r="AI38">
        <v>0.87</v>
      </c>
      <c r="AJ38">
        <v>0.9</v>
      </c>
      <c r="AK38">
        <v>0.19</v>
      </c>
      <c r="AL38">
        <v>1.22</v>
      </c>
      <c r="AM38">
        <v>0.22</v>
      </c>
      <c r="AN38">
        <v>0.65</v>
      </c>
      <c r="AO38">
        <v>0.11</v>
      </c>
      <c r="AP38">
        <v>0.71</v>
      </c>
      <c r="AQ38">
        <v>0.09</v>
      </c>
      <c r="AR38">
        <v>9.43</v>
      </c>
      <c r="AS38">
        <v>6.17</v>
      </c>
      <c r="AT38">
        <v>8.65</v>
      </c>
      <c r="AU38">
        <v>2.2999999999999998</v>
      </c>
      <c r="BE38">
        <f t="shared" si="0"/>
        <v>33.39</v>
      </c>
    </row>
    <row r="39" spans="1:57" x14ac:dyDescent="0.25">
      <c r="A39" s="8" t="s">
        <v>276</v>
      </c>
      <c r="B39" t="s">
        <v>128</v>
      </c>
      <c r="N39">
        <v>35</v>
      </c>
      <c r="O39">
        <v>15</v>
      </c>
      <c r="P39">
        <v>160</v>
      </c>
      <c r="Q39" t="s">
        <v>8</v>
      </c>
      <c r="R39">
        <v>790</v>
      </c>
      <c r="S39" t="s">
        <v>39</v>
      </c>
      <c r="V39">
        <v>51.93</v>
      </c>
      <c r="W39">
        <v>8.8699999999999992</v>
      </c>
      <c r="X39" t="s">
        <v>8</v>
      </c>
      <c r="Y39">
        <v>796.96</v>
      </c>
      <c r="Z39">
        <v>1.77</v>
      </c>
      <c r="AA39">
        <v>71.47</v>
      </c>
      <c r="AB39">
        <v>12.41</v>
      </c>
      <c r="AC39">
        <v>55.86</v>
      </c>
      <c r="AD39">
        <v>2.08</v>
      </c>
      <c r="AE39">
        <v>3.31</v>
      </c>
      <c r="AF39">
        <v>0.3</v>
      </c>
      <c r="AG39">
        <v>0.91</v>
      </c>
      <c r="AH39">
        <v>0.06</v>
      </c>
      <c r="AI39">
        <v>0.21</v>
      </c>
      <c r="AJ39">
        <v>0.2</v>
      </c>
      <c r="AK39">
        <v>0.04</v>
      </c>
      <c r="AL39">
        <v>0.22</v>
      </c>
      <c r="AM39">
        <v>0.05</v>
      </c>
      <c r="AN39">
        <v>0.13</v>
      </c>
      <c r="AO39">
        <v>0.02</v>
      </c>
      <c r="AP39">
        <v>0.14000000000000001</v>
      </c>
      <c r="AQ39">
        <v>0.02</v>
      </c>
      <c r="AR39">
        <v>52.46</v>
      </c>
      <c r="AS39">
        <v>10.43</v>
      </c>
      <c r="AT39">
        <v>10.89</v>
      </c>
      <c r="AU39">
        <v>5.58</v>
      </c>
      <c r="BE39">
        <f t="shared" si="0"/>
        <v>123.93</v>
      </c>
    </row>
    <row r="40" spans="1:57" x14ac:dyDescent="0.25">
      <c r="A40" s="7" t="s">
        <v>271</v>
      </c>
      <c r="B40" t="s">
        <v>135</v>
      </c>
      <c r="N40" t="s">
        <v>7</v>
      </c>
      <c r="O40">
        <v>20</v>
      </c>
      <c r="P40">
        <v>50</v>
      </c>
      <c r="Q40" t="s">
        <v>8</v>
      </c>
      <c r="R40">
        <v>35</v>
      </c>
      <c r="S40" t="s">
        <v>39</v>
      </c>
      <c r="V40">
        <v>3.29</v>
      </c>
      <c r="W40">
        <v>11.63</v>
      </c>
      <c r="X40" t="s">
        <v>8</v>
      </c>
      <c r="Y40">
        <v>332.19</v>
      </c>
      <c r="Z40">
        <v>19.04</v>
      </c>
      <c r="AA40">
        <v>17.46</v>
      </c>
      <c r="AB40">
        <v>8.59</v>
      </c>
      <c r="AC40">
        <v>15.09</v>
      </c>
      <c r="AD40">
        <v>35.97</v>
      </c>
      <c r="AE40">
        <v>40.33</v>
      </c>
      <c r="AF40">
        <v>9.43</v>
      </c>
      <c r="AG40">
        <v>36.43</v>
      </c>
      <c r="AH40">
        <v>1.25</v>
      </c>
      <c r="AI40">
        <v>6.34</v>
      </c>
      <c r="AJ40">
        <v>5.03</v>
      </c>
      <c r="AK40">
        <v>0.86</v>
      </c>
      <c r="AL40">
        <v>4.3</v>
      </c>
      <c r="AM40">
        <v>0.78</v>
      </c>
      <c r="AN40">
        <v>2.2000000000000002</v>
      </c>
      <c r="AO40">
        <v>0.33</v>
      </c>
      <c r="AP40">
        <v>1.9</v>
      </c>
      <c r="AQ40">
        <v>0.3</v>
      </c>
      <c r="AR40">
        <v>1.95</v>
      </c>
      <c r="AS40" t="s">
        <v>37</v>
      </c>
      <c r="AT40">
        <v>18.98</v>
      </c>
      <c r="AU40">
        <v>11.46</v>
      </c>
      <c r="BE40">
        <f t="shared" si="0"/>
        <v>19.41</v>
      </c>
    </row>
    <row r="41" spans="1:57" x14ac:dyDescent="0.25">
      <c r="A41" s="7" t="s">
        <v>271</v>
      </c>
      <c r="B41" t="s">
        <v>136</v>
      </c>
      <c r="N41" t="s">
        <v>7</v>
      </c>
      <c r="O41">
        <v>15</v>
      </c>
      <c r="P41">
        <v>40</v>
      </c>
      <c r="Q41" t="s">
        <v>8</v>
      </c>
      <c r="R41" t="s">
        <v>37</v>
      </c>
      <c r="S41" t="s">
        <v>39</v>
      </c>
      <c r="V41">
        <v>47.09</v>
      </c>
      <c r="W41">
        <v>9.52</v>
      </c>
      <c r="X41" t="s">
        <v>8</v>
      </c>
      <c r="Y41">
        <v>818.09</v>
      </c>
      <c r="Z41">
        <v>2.59</v>
      </c>
      <c r="AA41">
        <v>133.1</v>
      </c>
      <c r="AB41">
        <v>6.45</v>
      </c>
      <c r="AC41">
        <v>26.35</v>
      </c>
      <c r="AD41">
        <v>4</v>
      </c>
      <c r="AE41">
        <v>5.7</v>
      </c>
      <c r="AF41">
        <v>0.88</v>
      </c>
      <c r="AG41">
        <v>3.48</v>
      </c>
      <c r="AH41">
        <v>0.15</v>
      </c>
      <c r="AI41">
        <v>1.1599999999999999</v>
      </c>
      <c r="AJ41">
        <v>0.64</v>
      </c>
      <c r="AK41">
        <v>0.08</v>
      </c>
      <c r="AL41">
        <v>0.56000000000000005</v>
      </c>
      <c r="AM41">
        <v>0.12</v>
      </c>
      <c r="AN41">
        <v>0.25</v>
      </c>
      <c r="AO41">
        <v>0.05</v>
      </c>
      <c r="AP41">
        <v>0.26</v>
      </c>
      <c r="AQ41">
        <v>0.04</v>
      </c>
      <c r="AR41">
        <v>194.08</v>
      </c>
      <c r="AS41">
        <v>7.12</v>
      </c>
      <c r="AT41">
        <v>13.24</v>
      </c>
      <c r="AU41">
        <v>2.84</v>
      </c>
      <c r="BE41">
        <f t="shared" si="0"/>
        <v>327.18</v>
      </c>
    </row>
    <row r="42" spans="1:57" x14ac:dyDescent="0.25">
      <c r="A42" s="7" t="s">
        <v>271</v>
      </c>
      <c r="B42" t="s">
        <v>137</v>
      </c>
      <c r="N42">
        <v>10</v>
      </c>
      <c r="O42">
        <v>40</v>
      </c>
      <c r="P42">
        <v>40</v>
      </c>
      <c r="Q42" t="s">
        <v>8</v>
      </c>
      <c r="R42">
        <v>10</v>
      </c>
      <c r="S42" t="s">
        <v>39</v>
      </c>
      <c r="V42">
        <v>74.959999999999994</v>
      </c>
      <c r="W42">
        <v>9.31</v>
      </c>
      <c r="X42" t="s">
        <v>8</v>
      </c>
      <c r="Y42">
        <v>1048.1099999999999</v>
      </c>
      <c r="Z42">
        <v>0.99</v>
      </c>
      <c r="AA42">
        <v>74.36</v>
      </c>
      <c r="AB42" t="s">
        <v>37</v>
      </c>
      <c r="AC42">
        <v>57</v>
      </c>
      <c r="AD42">
        <v>1.43</v>
      </c>
      <c r="AE42">
        <v>2.33</v>
      </c>
      <c r="AF42">
        <v>0.3</v>
      </c>
      <c r="AG42">
        <v>1.1100000000000001</v>
      </c>
      <c r="AH42">
        <v>0.1</v>
      </c>
      <c r="AI42">
        <v>0.24</v>
      </c>
      <c r="AJ42">
        <v>0.22</v>
      </c>
      <c r="AK42">
        <v>0.04</v>
      </c>
      <c r="AL42">
        <v>0.21</v>
      </c>
      <c r="AM42">
        <v>0.06</v>
      </c>
      <c r="AN42">
        <v>0.11</v>
      </c>
      <c r="AO42">
        <v>0.02</v>
      </c>
      <c r="AP42">
        <v>0.11</v>
      </c>
      <c r="AQ42">
        <v>0.02</v>
      </c>
      <c r="AR42">
        <v>169.69</v>
      </c>
      <c r="AS42" t="s">
        <v>37</v>
      </c>
      <c r="AT42">
        <v>6.9</v>
      </c>
      <c r="AU42">
        <v>7.58</v>
      </c>
      <c r="BE42">
        <f t="shared" si="0"/>
        <v>244.05</v>
      </c>
    </row>
    <row r="43" spans="1:57" x14ac:dyDescent="0.25">
      <c r="A43" s="7" t="s">
        <v>271</v>
      </c>
      <c r="B43" t="s">
        <v>138</v>
      </c>
      <c r="N43">
        <v>60</v>
      </c>
      <c r="O43">
        <v>40</v>
      </c>
      <c r="P43">
        <v>40</v>
      </c>
      <c r="Q43" t="s">
        <v>8</v>
      </c>
      <c r="R43">
        <v>60</v>
      </c>
      <c r="S43" t="s">
        <v>39</v>
      </c>
      <c r="V43">
        <v>9.58</v>
      </c>
      <c r="W43">
        <v>9.76</v>
      </c>
      <c r="X43" t="s">
        <v>8</v>
      </c>
      <c r="Y43">
        <v>496.44</v>
      </c>
      <c r="Z43">
        <v>5.1100000000000003</v>
      </c>
      <c r="AA43">
        <v>31.92</v>
      </c>
      <c r="AB43">
        <v>6.47</v>
      </c>
      <c r="AC43">
        <v>61.94</v>
      </c>
      <c r="AD43">
        <v>6.16</v>
      </c>
      <c r="AE43">
        <v>11.76</v>
      </c>
      <c r="AF43">
        <v>1.37</v>
      </c>
      <c r="AG43">
        <v>4.82</v>
      </c>
      <c r="AH43">
        <v>0.22</v>
      </c>
      <c r="AI43">
        <v>1.1299999999999999</v>
      </c>
      <c r="AJ43">
        <v>0.88</v>
      </c>
      <c r="AK43">
        <v>0.18</v>
      </c>
      <c r="AL43">
        <v>0.9</v>
      </c>
      <c r="AM43">
        <v>0.16</v>
      </c>
      <c r="AN43">
        <v>0.46</v>
      </c>
      <c r="AO43">
        <v>7.0000000000000007E-2</v>
      </c>
      <c r="AP43">
        <v>0.45</v>
      </c>
      <c r="AQ43">
        <v>0.06</v>
      </c>
      <c r="AR43">
        <v>7.24</v>
      </c>
      <c r="AS43" t="s">
        <v>37</v>
      </c>
      <c r="AT43">
        <v>9.1199999999999992</v>
      </c>
      <c r="AU43">
        <v>4.8600000000000003</v>
      </c>
      <c r="BE43">
        <f t="shared" si="0"/>
        <v>39.160000000000004</v>
      </c>
    </row>
    <row r="44" spans="1:57" x14ac:dyDescent="0.25">
      <c r="A44" s="7" t="s">
        <v>271</v>
      </c>
      <c r="B44" t="s">
        <v>139</v>
      </c>
      <c r="N44">
        <v>90</v>
      </c>
      <c r="O44">
        <v>40</v>
      </c>
      <c r="P44">
        <v>60</v>
      </c>
      <c r="Q44" t="s">
        <v>8</v>
      </c>
      <c r="R44">
        <v>160</v>
      </c>
      <c r="S44" t="s">
        <v>39</v>
      </c>
      <c r="V44">
        <v>9.48</v>
      </c>
      <c r="W44">
        <v>9.49</v>
      </c>
      <c r="X44" t="s">
        <v>8</v>
      </c>
      <c r="Y44">
        <v>534.38</v>
      </c>
      <c r="Z44">
        <v>13.97</v>
      </c>
      <c r="AA44">
        <v>49.64</v>
      </c>
      <c r="AB44">
        <v>11.7</v>
      </c>
      <c r="AC44">
        <v>38.6</v>
      </c>
      <c r="AD44">
        <v>56.04</v>
      </c>
      <c r="AE44">
        <v>113.24</v>
      </c>
      <c r="AF44">
        <v>12.92</v>
      </c>
      <c r="AG44">
        <v>46.84</v>
      </c>
      <c r="AH44">
        <v>0.91</v>
      </c>
      <c r="AI44">
        <v>8.74</v>
      </c>
      <c r="AJ44">
        <v>6.86</v>
      </c>
      <c r="AK44">
        <v>0.87</v>
      </c>
      <c r="AL44">
        <v>3.68</v>
      </c>
      <c r="AM44">
        <v>0.47</v>
      </c>
      <c r="AN44">
        <v>1.37</v>
      </c>
      <c r="AO44">
        <v>0.17</v>
      </c>
      <c r="AP44">
        <v>1.01</v>
      </c>
      <c r="AQ44">
        <v>0.13</v>
      </c>
      <c r="AR44">
        <v>6</v>
      </c>
      <c r="AS44">
        <v>14.4</v>
      </c>
      <c r="AT44">
        <v>46.83</v>
      </c>
      <c r="AU44">
        <v>14.94</v>
      </c>
      <c r="BE44">
        <f t="shared" si="0"/>
        <v>55.64</v>
      </c>
    </row>
    <row r="45" spans="1:57" x14ac:dyDescent="0.25">
      <c r="A45" s="7" t="s">
        <v>271</v>
      </c>
      <c r="B45" t="s">
        <v>140</v>
      </c>
      <c r="N45">
        <v>80</v>
      </c>
      <c r="O45">
        <v>10</v>
      </c>
      <c r="P45">
        <v>80</v>
      </c>
      <c r="Q45" t="s">
        <v>8</v>
      </c>
      <c r="R45">
        <v>25</v>
      </c>
      <c r="S45" t="s">
        <v>39</v>
      </c>
      <c r="V45">
        <v>3.31</v>
      </c>
      <c r="W45">
        <v>15</v>
      </c>
      <c r="X45">
        <v>30.7</v>
      </c>
      <c r="Y45">
        <v>51.59</v>
      </c>
      <c r="Z45">
        <v>28.96</v>
      </c>
      <c r="AA45">
        <v>127.8</v>
      </c>
      <c r="AB45">
        <v>61.62</v>
      </c>
      <c r="AC45">
        <v>4.6500000000000004</v>
      </c>
      <c r="AD45">
        <v>14.37</v>
      </c>
      <c r="AE45">
        <v>34.18</v>
      </c>
      <c r="AF45">
        <v>4.08</v>
      </c>
      <c r="AG45">
        <v>16.71</v>
      </c>
      <c r="AH45">
        <v>0.74</v>
      </c>
      <c r="AI45">
        <v>10.14</v>
      </c>
      <c r="AJ45">
        <v>3.77</v>
      </c>
      <c r="AK45">
        <v>0.73</v>
      </c>
      <c r="AL45">
        <v>4.75</v>
      </c>
      <c r="AM45">
        <v>1.01</v>
      </c>
      <c r="AN45">
        <v>3.01</v>
      </c>
      <c r="AO45">
        <v>0.49</v>
      </c>
      <c r="AP45">
        <v>3.23</v>
      </c>
      <c r="AQ45">
        <v>0.52</v>
      </c>
      <c r="AR45">
        <v>2.08</v>
      </c>
      <c r="AS45">
        <v>12.2</v>
      </c>
      <c r="AT45">
        <v>16.7</v>
      </c>
      <c r="AU45">
        <v>2.65</v>
      </c>
      <c r="BE45">
        <f t="shared" si="0"/>
        <v>129.88</v>
      </c>
    </row>
    <row r="46" spans="1:57" x14ac:dyDescent="0.25">
      <c r="A46" s="7" t="s">
        <v>271</v>
      </c>
      <c r="B46" t="s">
        <v>141</v>
      </c>
      <c r="N46" t="s">
        <v>7</v>
      </c>
      <c r="O46">
        <v>40</v>
      </c>
      <c r="P46">
        <v>15</v>
      </c>
      <c r="Q46" t="s">
        <v>8</v>
      </c>
      <c r="R46">
        <v>15</v>
      </c>
      <c r="S46" t="s">
        <v>39</v>
      </c>
      <c r="V46">
        <v>9.56</v>
      </c>
      <c r="W46">
        <v>9.9</v>
      </c>
      <c r="X46">
        <v>4.17</v>
      </c>
      <c r="Y46">
        <v>569.76</v>
      </c>
      <c r="Z46">
        <v>7.51</v>
      </c>
      <c r="AA46">
        <v>33.51</v>
      </c>
      <c r="AB46">
        <v>14.48</v>
      </c>
      <c r="AC46">
        <v>22.6</v>
      </c>
      <c r="AD46">
        <v>4.34</v>
      </c>
      <c r="AE46">
        <v>7.86</v>
      </c>
      <c r="AF46">
        <v>1.04</v>
      </c>
      <c r="AG46">
        <v>3.43</v>
      </c>
      <c r="AH46">
        <v>0.12</v>
      </c>
      <c r="AI46">
        <v>3.63</v>
      </c>
      <c r="AJ46">
        <v>0.87</v>
      </c>
      <c r="AK46">
        <v>0.23</v>
      </c>
      <c r="AL46">
        <v>1.36</v>
      </c>
      <c r="AM46">
        <v>0.26</v>
      </c>
      <c r="AN46">
        <v>0.68</v>
      </c>
      <c r="AO46">
        <v>0.13</v>
      </c>
      <c r="AP46">
        <v>0.87</v>
      </c>
      <c r="AQ46">
        <v>0.12</v>
      </c>
      <c r="AR46">
        <v>9.31</v>
      </c>
      <c r="AS46" t="s">
        <v>37</v>
      </c>
      <c r="AT46">
        <v>3.99</v>
      </c>
      <c r="AU46">
        <v>1.79</v>
      </c>
      <c r="BE46">
        <f t="shared" si="0"/>
        <v>42.82</v>
      </c>
    </row>
    <row r="47" spans="1:57" x14ac:dyDescent="0.25">
      <c r="A47" s="7" t="s">
        <v>271</v>
      </c>
      <c r="B47" t="s">
        <v>142</v>
      </c>
      <c r="N47" t="s">
        <v>7</v>
      </c>
      <c r="O47">
        <v>20</v>
      </c>
      <c r="P47">
        <v>35</v>
      </c>
      <c r="Q47" t="s">
        <v>8</v>
      </c>
      <c r="R47">
        <v>30</v>
      </c>
      <c r="S47" t="s">
        <v>39</v>
      </c>
      <c r="V47">
        <v>13.61</v>
      </c>
      <c r="W47">
        <v>9.0399999999999991</v>
      </c>
      <c r="X47" t="s">
        <v>8</v>
      </c>
      <c r="Y47">
        <v>706.75</v>
      </c>
      <c r="Z47">
        <v>5.45</v>
      </c>
      <c r="AA47">
        <v>68.8</v>
      </c>
      <c r="AB47">
        <v>17.52</v>
      </c>
      <c r="AC47">
        <v>18.93</v>
      </c>
      <c r="AD47">
        <v>4.6500000000000004</v>
      </c>
      <c r="AE47">
        <v>7.67</v>
      </c>
      <c r="AF47">
        <v>1.0900000000000001</v>
      </c>
      <c r="AG47">
        <v>3.52</v>
      </c>
      <c r="AH47">
        <v>0.12</v>
      </c>
      <c r="AI47">
        <v>1.02</v>
      </c>
      <c r="AJ47">
        <v>0.88</v>
      </c>
      <c r="AK47">
        <v>0.2</v>
      </c>
      <c r="AL47">
        <v>1.05</v>
      </c>
      <c r="AM47">
        <v>0.16</v>
      </c>
      <c r="AN47">
        <v>0.35</v>
      </c>
      <c r="AO47">
        <v>0.06</v>
      </c>
      <c r="AP47">
        <v>0.41</v>
      </c>
      <c r="AQ47">
        <v>0.05</v>
      </c>
      <c r="AR47">
        <v>18.09</v>
      </c>
      <c r="AS47">
        <v>5.36</v>
      </c>
      <c r="AT47">
        <v>4</v>
      </c>
      <c r="AU47">
        <v>2.12</v>
      </c>
      <c r="BE47">
        <f t="shared" si="0"/>
        <v>86.89</v>
      </c>
    </row>
    <row r="48" spans="1:57" x14ac:dyDescent="0.25">
      <c r="A48" s="7" t="s">
        <v>271</v>
      </c>
      <c r="B48" t="s">
        <v>143</v>
      </c>
      <c r="N48">
        <v>10</v>
      </c>
      <c r="O48">
        <v>30</v>
      </c>
      <c r="P48">
        <v>45</v>
      </c>
      <c r="Q48" t="s">
        <v>8</v>
      </c>
      <c r="R48">
        <v>15</v>
      </c>
      <c r="S48" t="s">
        <v>39</v>
      </c>
      <c r="V48">
        <v>10.23</v>
      </c>
      <c r="W48">
        <v>9.85</v>
      </c>
      <c r="X48">
        <v>5.09</v>
      </c>
      <c r="Y48">
        <v>222.84</v>
      </c>
      <c r="Z48">
        <v>20.8</v>
      </c>
      <c r="AA48">
        <v>34.729999999999997</v>
      </c>
      <c r="AB48">
        <v>17.37</v>
      </c>
      <c r="AC48">
        <v>15.71</v>
      </c>
      <c r="AD48">
        <v>28.75</v>
      </c>
      <c r="AE48">
        <v>65.92</v>
      </c>
      <c r="AF48">
        <v>6.45</v>
      </c>
      <c r="AG48">
        <v>22.86</v>
      </c>
      <c r="AH48">
        <v>0.91</v>
      </c>
      <c r="AI48">
        <v>9.93</v>
      </c>
      <c r="AJ48">
        <v>4.18</v>
      </c>
      <c r="AK48">
        <v>0.73</v>
      </c>
      <c r="AL48">
        <v>3.95</v>
      </c>
      <c r="AM48">
        <v>0.74</v>
      </c>
      <c r="AN48">
        <v>2.2000000000000002</v>
      </c>
      <c r="AO48">
        <v>0.34</v>
      </c>
      <c r="AP48">
        <v>2.34</v>
      </c>
      <c r="AQ48">
        <v>0.35</v>
      </c>
      <c r="AR48">
        <v>4.16</v>
      </c>
      <c r="AS48" t="s">
        <v>37</v>
      </c>
      <c r="AT48">
        <v>31.54</v>
      </c>
      <c r="AU48">
        <v>8.0299999999999994</v>
      </c>
      <c r="BE48">
        <f t="shared" si="0"/>
        <v>38.89</v>
      </c>
    </row>
    <row r="49" spans="1:57" x14ac:dyDescent="0.25">
      <c r="A49" s="8" t="s">
        <v>263</v>
      </c>
      <c r="B49" t="s">
        <v>144</v>
      </c>
      <c r="N49" t="s">
        <v>7</v>
      </c>
      <c r="O49">
        <v>20</v>
      </c>
      <c r="P49">
        <v>25</v>
      </c>
      <c r="Q49" t="s">
        <v>8</v>
      </c>
      <c r="R49">
        <v>70</v>
      </c>
      <c r="S49" t="s">
        <v>39</v>
      </c>
      <c r="V49">
        <v>10.26</v>
      </c>
      <c r="W49">
        <v>9.08</v>
      </c>
      <c r="X49">
        <v>18.059999999999999</v>
      </c>
      <c r="Y49">
        <v>483.21</v>
      </c>
      <c r="Z49">
        <v>9.8000000000000007</v>
      </c>
      <c r="AA49">
        <v>35.200000000000003</v>
      </c>
      <c r="AB49">
        <v>5.53</v>
      </c>
      <c r="AC49">
        <v>17.41</v>
      </c>
      <c r="AD49">
        <v>14.45</v>
      </c>
      <c r="AE49">
        <v>28.18</v>
      </c>
      <c r="AF49">
        <v>3.36</v>
      </c>
      <c r="AG49">
        <v>11.41</v>
      </c>
      <c r="AH49">
        <v>0.33</v>
      </c>
      <c r="AI49">
        <v>2.48</v>
      </c>
      <c r="AJ49">
        <v>1.97</v>
      </c>
      <c r="AK49">
        <v>0.36</v>
      </c>
      <c r="AL49">
        <v>1.81</v>
      </c>
      <c r="AM49">
        <v>0.28999999999999998</v>
      </c>
      <c r="AN49">
        <v>0.82</v>
      </c>
      <c r="AO49">
        <v>0.13</v>
      </c>
      <c r="AP49">
        <v>0.85</v>
      </c>
      <c r="AQ49">
        <v>0.13</v>
      </c>
      <c r="AR49">
        <v>8.08</v>
      </c>
      <c r="AS49">
        <v>5.39</v>
      </c>
      <c r="AT49">
        <v>14.27</v>
      </c>
      <c r="AU49">
        <v>3.67</v>
      </c>
      <c r="BE49">
        <f t="shared" si="0"/>
        <v>43.28</v>
      </c>
    </row>
    <row r="50" spans="1:57" x14ac:dyDescent="0.25">
      <c r="A50" s="8" t="s">
        <v>263</v>
      </c>
      <c r="B50" t="s">
        <v>145</v>
      </c>
      <c r="N50">
        <v>25</v>
      </c>
      <c r="O50">
        <v>10</v>
      </c>
      <c r="P50">
        <v>135</v>
      </c>
      <c r="Q50" t="s">
        <v>8</v>
      </c>
      <c r="R50">
        <v>95</v>
      </c>
      <c r="S50" t="s">
        <v>39</v>
      </c>
      <c r="V50">
        <v>32</v>
      </c>
      <c r="W50">
        <v>9.1300000000000008</v>
      </c>
      <c r="X50">
        <v>17.670000000000002</v>
      </c>
      <c r="Y50">
        <v>939.8</v>
      </c>
      <c r="Z50">
        <v>0.85</v>
      </c>
      <c r="AA50">
        <v>202.8</v>
      </c>
      <c r="AB50">
        <v>7.99</v>
      </c>
      <c r="AC50">
        <v>61.58</v>
      </c>
      <c r="AD50">
        <v>1.34</v>
      </c>
      <c r="AE50">
        <v>1.36</v>
      </c>
      <c r="AF50">
        <v>0.15</v>
      </c>
      <c r="AG50">
        <v>0.66</v>
      </c>
      <c r="AH50">
        <v>0.03</v>
      </c>
      <c r="AI50">
        <v>0.15</v>
      </c>
      <c r="AJ50">
        <v>0.12</v>
      </c>
      <c r="AK50">
        <v>0.02</v>
      </c>
      <c r="AL50">
        <v>0.11</v>
      </c>
      <c r="AM50">
        <v>0.02</v>
      </c>
      <c r="AN50">
        <v>0.06</v>
      </c>
      <c r="AO50">
        <v>0.01</v>
      </c>
      <c r="AP50">
        <v>0.1</v>
      </c>
      <c r="AQ50">
        <v>0.01</v>
      </c>
      <c r="AR50">
        <v>154.88</v>
      </c>
      <c r="AS50">
        <v>8.73</v>
      </c>
      <c r="AT50">
        <v>10.39</v>
      </c>
      <c r="AU50">
        <v>3.27</v>
      </c>
      <c r="BE50">
        <f t="shared" si="0"/>
        <v>357.68</v>
      </c>
    </row>
    <row r="51" spans="1:57" x14ac:dyDescent="0.25">
      <c r="A51" s="8" t="s">
        <v>263</v>
      </c>
      <c r="B51" t="s">
        <v>146</v>
      </c>
      <c r="N51">
        <v>10</v>
      </c>
      <c r="O51">
        <v>10</v>
      </c>
      <c r="P51">
        <v>20</v>
      </c>
      <c r="Q51" t="s">
        <v>8</v>
      </c>
      <c r="R51">
        <v>85</v>
      </c>
      <c r="S51" t="s">
        <v>39</v>
      </c>
      <c r="V51">
        <v>9.0299999999999994</v>
      </c>
      <c r="W51">
        <v>9.42</v>
      </c>
      <c r="X51">
        <v>19.2</v>
      </c>
      <c r="Y51">
        <v>457.42</v>
      </c>
      <c r="Z51">
        <v>3.86</v>
      </c>
      <c r="AA51">
        <v>32.22</v>
      </c>
      <c r="AB51">
        <v>6.16</v>
      </c>
      <c r="AC51">
        <v>36.35</v>
      </c>
      <c r="AD51">
        <v>2.2200000000000002</v>
      </c>
      <c r="AE51">
        <v>3.83</v>
      </c>
      <c r="AF51">
        <v>0.38</v>
      </c>
      <c r="AG51">
        <v>1.32</v>
      </c>
      <c r="AH51">
        <v>0.08</v>
      </c>
      <c r="AI51">
        <v>0.34</v>
      </c>
      <c r="AJ51">
        <v>0.28999999999999998</v>
      </c>
      <c r="AK51">
        <v>0.08</v>
      </c>
      <c r="AL51">
        <v>0.56999999999999995</v>
      </c>
      <c r="AM51">
        <v>0.1</v>
      </c>
      <c r="AN51">
        <v>0.28999999999999998</v>
      </c>
      <c r="AO51">
        <v>0.06</v>
      </c>
      <c r="AP51">
        <v>0.38</v>
      </c>
      <c r="AQ51">
        <v>0.05</v>
      </c>
      <c r="AR51">
        <v>8.34</v>
      </c>
      <c r="AS51">
        <v>5.87</v>
      </c>
      <c r="AT51">
        <v>1.89</v>
      </c>
      <c r="AU51">
        <v>2.1</v>
      </c>
      <c r="BE51">
        <f t="shared" si="0"/>
        <v>40.56</v>
      </c>
    </row>
    <row r="52" spans="1:57" x14ac:dyDescent="0.25">
      <c r="A52" s="8" t="s">
        <v>263</v>
      </c>
      <c r="B52" t="s">
        <v>147</v>
      </c>
      <c r="N52" t="s">
        <v>7</v>
      </c>
      <c r="O52">
        <v>30</v>
      </c>
      <c r="P52">
        <v>25</v>
      </c>
      <c r="Q52" t="s">
        <v>8</v>
      </c>
      <c r="R52">
        <v>85</v>
      </c>
      <c r="S52" t="s">
        <v>39</v>
      </c>
      <c r="V52">
        <v>13.96</v>
      </c>
      <c r="W52">
        <v>9.4700000000000006</v>
      </c>
      <c r="X52">
        <v>25.57</v>
      </c>
      <c r="Y52">
        <v>391.23</v>
      </c>
      <c r="Z52">
        <v>14.6</v>
      </c>
      <c r="AA52">
        <v>31.9</v>
      </c>
      <c r="AB52">
        <v>5.0199999999999996</v>
      </c>
      <c r="AC52">
        <v>29.39</v>
      </c>
      <c r="AD52">
        <v>7.92</v>
      </c>
      <c r="AE52">
        <v>16.2</v>
      </c>
      <c r="AF52">
        <v>1.9</v>
      </c>
      <c r="AG52">
        <v>6.33</v>
      </c>
      <c r="AH52">
        <v>0.09</v>
      </c>
      <c r="AI52">
        <v>2.1</v>
      </c>
      <c r="AJ52">
        <v>2.1</v>
      </c>
      <c r="AK52">
        <v>0.47</v>
      </c>
      <c r="AL52">
        <v>2.82</v>
      </c>
      <c r="AM52">
        <v>0.43</v>
      </c>
      <c r="AN52">
        <v>1.29</v>
      </c>
      <c r="AO52">
        <v>0.21</v>
      </c>
      <c r="AP52">
        <v>1.49</v>
      </c>
      <c r="AQ52">
        <v>0.22</v>
      </c>
      <c r="AR52">
        <v>9.92</v>
      </c>
      <c r="AS52">
        <v>8.1199999999999992</v>
      </c>
      <c r="AT52">
        <v>12.41</v>
      </c>
      <c r="AU52">
        <v>2.61</v>
      </c>
      <c r="BE52">
        <f t="shared" si="0"/>
        <v>41.82</v>
      </c>
    </row>
  </sheetData>
  <conditionalFormatting sqref="BE3:BE52">
    <cfRule type="cellIs" dxfId="0" priority="1" operator="greaterThan">
      <formula>100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2"/>
  <sheetViews>
    <sheetView zoomScale="80" zoomScaleNormal="80" workbookViewId="0">
      <selection activeCell="P14" sqref="P14"/>
    </sheetView>
  </sheetViews>
  <sheetFormatPr defaultRowHeight="15" x14ac:dyDescent="0.25"/>
  <cols>
    <col min="1" max="1" width="16.42578125" customWidth="1"/>
    <col min="2" max="2" width="15.140625" customWidth="1"/>
  </cols>
  <sheetData>
    <row r="1" spans="1:53" x14ac:dyDescent="0.25">
      <c r="A1" t="s">
        <v>261</v>
      </c>
      <c r="B1" t="s">
        <v>0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15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9</v>
      </c>
      <c r="Y1" t="s">
        <v>10</v>
      </c>
      <c r="Z1" t="s">
        <v>52</v>
      </c>
      <c r="AA1" t="s">
        <v>53</v>
      </c>
      <c r="AB1" t="s">
        <v>54</v>
      </c>
      <c r="AC1" t="s">
        <v>12</v>
      </c>
      <c r="AD1" t="s">
        <v>55</v>
      </c>
      <c r="AE1" t="s">
        <v>13</v>
      </c>
      <c r="AF1" t="s">
        <v>260</v>
      </c>
      <c r="AG1" t="s">
        <v>14</v>
      </c>
      <c r="AH1" t="s">
        <v>16</v>
      </c>
      <c r="AI1" t="s">
        <v>56</v>
      </c>
      <c r="AJ1" t="s">
        <v>17</v>
      </c>
      <c r="AK1" t="s">
        <v>18</v>
      </c>
      <c r="AL1" t="s">
        <v>19</v>
      </c>
      <c r="AM1" t="s">
        <v>20</v>
      </c>
      <c r="AN1" t="s">
        <v>21</v>
      </c>
      <c r="AO1" t="s">
        <v>22</v>
      </c>
      <c r="AP1" t="s">
        <v>23</v>
      </c>
      <c r="AQ1" t="s">
        <v>24</v>
      </c>
      <c r="AR1" t="s">
        <v>25</v>
      </c>
      <c r="AS1" t="s">
        <v>26</v>
      </c>
      <c r="AT1" t="s">
        <v>27</v>
      </c>
      <c r="AU1" t="s">
        <v>28</v>
      </c>
      <c r="AV1" t="s">
        <v>29</v>
      </c>
      <c r="AW1" t="s">
        <v>30</v>
      </c>
      <c r="AX1" t="s">
        <v>31</v>
      </c>
      <c r="AY1" t="s">
        <v>32</v>
      </c>
      <c r="AZ1" t="s">
        <v>33</v>
      </c>
      <c r="BA1" t="s">
        <v>34</v>
      </c>
    </row>
    <row r="2" spans="1:53" x14ac:dyDescent="0.25"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  <c r="I2" t="s">
        <v>70</v>
      </c>
      <c r="J2" t="s">
        <v>70</v>
      </c>
      <c r="K2" t="s">
        <v>70</v>
      </c>
      <c r="L2" t="s">
        <v>70</v>
      </c>
      <c r="M2" t="s">
        <v>70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  <c r="AE2" t="s">
        <v>35</v>
      </c>
      <c r="AF2" t="s">
        <v>35</v>
      </c>
      <c r="AG2" t="s">
        <v>35</v>
      </c>
      <c r="AH2" t="s">
        <v>35</v>
      </c>
      <c r="AI2" t="s">
        <v>35</v>
      </c>
      <c r="AJ2" t="s">
        <v>35</v>
      </c>
      <c r="AK2" t="s">
        <v>35</v>
      </c>
      <c r="AL2" t="s">
        <v>35</v>
      </c>
      <c r="AM2" t="s">
        <v>35</v>
      </c>
      <c r="AN2" t="s">
        <v>35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 t="s">
        <v>35</v>
      </c>
    </row>
    <row r="3" spans="1:53" x14ac:dyDescent="0.25">
      <c r="A3" t="s">
        <v>270</v>
      </c>
      <c r="B3" t="s">
        <v>71</v>
      </c>
      <c r="C3">
        <v>65.8</v>
      </c>
      <c r="D3">
        <v>18.55</v>
      </c>
      <c r="E3">
        <v>2.71</v>
      </c>
      <c r="F3">
        <v>0.27</v>
      </c>
      <c r="G3">
        <v>0.28999999999999998</v>
      </c>
      <c r="H3">
        <v>1.05</v>
      </c>
      <c r="I3">
        <v>6.96</v>
      </c>
      <c r="J3">
        <v>0.25</v>
      </c>
      <c r="K3">
        <v>0.02</v>
      </c>
      <c r="L3">
        <v>0.31</v>
      </c>
      <c r="M3">
        <v>2.17</v>
      </c>
      <c r="N3">
        <v>22.24</v>
      </c>
      <c r="O3">
        <v>90.06</v>
      </c>
      <c r="P3">
        <v>2.73</v>
      </c>
      <c r="Q3">
        <v>115</v>
      </c>
      <c r="R3">
        <v>305</v>
      </c>
      <c r="S3">
        <v>25</v>
      </c>
      <c r="T3">
        <v>35</v>
      </c>
      <c r="U3">
        <v>10</v>
      </c>
      <c r="V3">
        <v>10</v>
      </c>
      <c r="W3">
        <v>10</v>
      </c>
      <c r="X3">
        <v>23.41</v>
      </c>
      <c r="Y3">
        <v>9.1999999999999993</v>
      </c>
      <c r="Z3">
        <v>6.62</v>
      </c>
      <c r="AA3">
        <v>31.35</v>
      </c>
      <c r="AB3">
        <v>2.5499999999999998</v>
      </c>
      <c r="AC3">
        <v>659.41</v>
      </c>
      <c r="AD3">
        <v>82.42</v>
      </c>
      <c r="AE3">
        <v>12.9</v>
      </c>
      <c r="AG3">
        <v>32.22</v>
      </c>
      <c r="AH3">
        <v>25.92</v>
      </c>
      <c r="AI3">
        <v>317.22000000000003</v>
      </c>
      <c r="AJ3">
        <v>87.87</v>
      </c>
      <c r="AK3">
        <v>173.19</v>
      </c>
      <c r="AL3">
        <v>19.66</v>
      </c>
      <c r="AM3">
        <v>65.33</v>
      </c>
      <c r="AN3">
        <v>0.88</v>
      </c>
      <c r="AO3">
        <v>11.57</v>
      </c>
      <c r="AP3">
        <v>8</v>
      </c>
      <c r="AQ3">
        <v>0.88</v>
      </c>
      <c r="AR3">
        <v>3.3</v>
      </c>
      <c r="AS3">
        <v>0.44</v>
      </c>
      <c r="AT3">
        <v>1.27</v>
      </c>
      <c r="AU3">
        <v>0.16</v>
      </c>
      <c r="AV3">
        <v>1.05</v>
      </c>
      <c r="AW3">
        <v>0.16</v>
      </c>
      <c r="AX3">
        <v>6.9</v>
      </c>
      <c r="AY3">
        <v>42.91</v>
      </c>
      <c r="AZ3">
        <v>81.489999999999995</v>
      </c>
      <c r="BA3">
        <v>27.26</v>
      </c>
    </row>
    <row r="4" spans="1:53" x14ac:dyDescent="0.25">
      <c r="A4" t="s">
        <v>270</v>
      </c>
      <c r="B4" t="s">
        <v>72</v>
      </c>
      <c r="C4">
        <v>72.97</v>
      </c>
      <c r="D4">
        <v>14.5</v>
      </c>
      <c r="E4">
        <v>1.05</v>
      </c>
      <c r="F4">
        <v>0.3</v>
      </c>
      <c r="G4">
        <v>0.06</v>
      </c>
      <c r="H4">
        <v>3.84</v>
      </c>
      <c r="I4">
        <v>6.01</v>
      </c>
      <c r="J4">
        <v>0.05</v>
      </c>
      <c r="K4">
        <v>0.02</v>
      </c>
      <c r="L4">
        <v>0.03</v>
      </c>
      <c r="M4">
        <v>0.62</v>
      </c>
      <c r="N4">
        <v>0.86</v>
      </c>
      <c r="O4">
        <v>0.28999999999999998</v>
      </c>
      <c r="P4">
        <v>0.84</v>
      </c>
      <c r="Q4" s="7">
        <v>18.989999999999998</v>
      </c>
      <c r="R4">
        <v>15</v>
      </c>
      <c r="S4">
        <v>40</v>
      </c>
      <c r="T4">
        <v>25</v>
      </c>
      <c r="U4" t="s">
        <v>7</v>
      </c>
      <c r="V4">
        <v>15</v>
      </c>
      <c r="W4">
        <v>15</v>
      </c>
      <c r="X4">
        <v>1.72</v>
      </c>
      <c r="Y4">
        <v>9.77</v>
      </c>
      <c r="Z4" t="s">
        <v>148</v>
      </c>
      <c r="AA4">
        <v>14.31</v>
      </c>
      <c r="AB4">
        <v>1.64</v>
      </c>
      <c r="AC4">
        <v>187.9</v>
      </c>
      <c r="AD4">
        <v>23.21</v>
      </c>
      <c r="AE4">
        <v>35.85</v>
      </c>
      <c r="AG4">
        <v>9.58</v>
      </c>
      <c r="AH4">
        <v>5.51</v>
      </c>
      <c r="AI4">
        <v>355.36</v>
      </c>
      <c r="AJ4">
        <v>20.09</v>
      </c>
      <c r="AK4">
        <v>48.79</v>
      </c>
      <c r="AL4">
        <v>4.28</v>
      </c>
      <c r="AM4">
        <v>15.12</v>
      </c>
      <c r="AN4">
        <v>0.2</v>
      </c>
      <c r="AO4">
        <v>2.73</v>
      </c>
      <c r="AP4">
        <v>2.83</v>
      </c>
      <c r="AQ4">
        <v>0.59</v>
      </c>
      <c r="AR4">
        <v>4.9400000000000004</v>
      </c>
      <c r="AS4">
        <v>1.25</v>
      </c>
      <c r="AT4">
        <v>4.26</v>
      </c>
      <c r="AU4">
        <v>0.76</v>
      </c>
      <c r="AV4">
        <v>4.96</v>
      </c>
      <c r="AW4">
        <v>0.79</v>
      </c>
      <c r="AX4">
        <v>0.78</v>
      </c>
      <c r="AY4" t="s">
        <v>37</v>
      </c>
      <c r="AZ4">
        <v>21.19</v>
      </c>
      <c r="BA4">
        <v>4.76</v>
      </c>
    </row>
    <row r="5" spans="1:53" x14ac:dyDescent="0.25">
      <c r="A5" s="8" t="s">
        <v>273</v>
      </c>
      <c r="B5" t="s">
        <v>57</v>
      </c>
      <c r="C5">
        <v>70.11</v>
      </c>
      <c r="D5">
        <v>15.98</v>
      </c>
      <c r="E5">
        <v>0.83</v>
      </c>
      <c r="F5">
        <v>0.69</v>
      </c>
      <c r="G5">
        <v>0.28000000000000003</v>
      </c>
      <c r="H5">
        <v>6.25</v>
      </c>
      <c r="I5">
        <v>3.3</v>
      </c>
      <c r="J5">
        <v>0.05</v>
      </c>
      <c r="K5">
        <v>0.17</v>
      </c>
      <c r="L5">
        <v>0.16</v>
      </c>
      <c r="M5">
        <v>0.28999999999999998</v>
      </c>
      <c r="N5">
        <v>11.11</v>
      </c>
      <c r="O5">
        <v>1.1299999999999999</v>
      </c>
      <c r="P5">
        <v>2.98</v>
      </c>
      <c r="Q5">
        <v>17.239999999999998</v>
      </c>
      <c r="R5" t="s">
        <v>7</v>
      </c>
      <c r="S5">
        <v>15</v>
      </c>
      <c r="T5">
        <v>45</v>
      </c>
      <c r="U5" t="s">
        <v>7</v>
      </c>
      <c r="V5" t="s">
        <v>7</v>
      </c>
      <c r="W5">
        <v>10</v>
      </c>
      <c r="X5">
        <v>99.32</v>
      </c>
      <c r="Y5">
        <v>11.07</v>
      </c>
      <c r="Z5">
        <v>6.1</v>
      </c>
      <c r="AA5">
        <v>26.23</v>
      </c>
      <c r="AB5">
        <v>3.84</v>
      </c>
      <c r="AC5">
        <v>526.44000000000005</v>
      </c>
      <c r="AD5">
        <v>44.28</v>
      </c>
      <c r="AE5">
        <v>5.43</v>
      </c>
      <c r="AG5">
        <v>124.99</v>
      </c>
      <c r="AH5">
        <v>26.09</v>
      </c>
      <c r="AI5">
        <v>75.52</v>
      </c>
      <c r="AJ5">
        <v>2.64</v>
      </c>
      <c r="AK5">
        <v>4.84</v>
      </c>
      <c r="AL5">
        <v>0.59</v>
      </c>
      <c r="AM5">
        <v>1.8</v>
      </c>
      <c r="AN5">
        <v>0.08</v>
      </c>
      <c r="AO5">
        <v>0.52</v>
      </c>
      <c r="AP5">
        <v>0.43</v>
      </c>
      <c r="AQ5">
        <v>0.11</v>
      </c>
      <c r="AR5">
        <v>0.67</v>
      </c>
      <c r="AS5">
        <v>0.14000000000000001</v>
      </c>
      <c r="AT5">
        <v>0.36</v>
      </c>
      <c r="AU5">
        <v>0.08</v>
      </c>
      <c r="AV5">
        <v>0.62</v>
      </c>
      <c r="AW5">
        <v>0.08</v>
      </c>
      <c r="AX5">
        <v>48.53</v>
      </c>
      <c r="AY5" t="s">
        <v>37</v>
      </c>
      <c r="AZ5">
        <v>7.8</v>
      </c>
      <c r="BA5">
        <v>12.79</v>
      </c>
    </row>
    <row r="6" spans="1:53" x14ac:dyDescent="0.25">
      <c r="A6" s="8" t="s">
        <v>273</v>
      </c>
      <c r="B6" t="s">
        <v>58</v>
      </c>
      <c r="C6">
        <v>59.26</v>
      </c>
      <c r="D6">
        <v>15.12</v>
      </c>
      <c r="E6">
        <v>7.53</v>
      </c>
      <c r="F6">
        <v>6.58</v>
      </c>
      <c r="G6">
        <v>3.67</v>
      </c>
      <c r="H6">
        <v>2.2999999999999998</v>
      </c>
      <c r="I6">
        <v>1.66</v>
      </c>
      <c r="J6">
        <v>0.88</v>
      </c>
      <c r="K6">
        <v>0.16</v>
      </c>
      <c r="L6">
        <v>0.35</v>
      </c>
      <c r="M6">
        <v>0.67</v>
      </c>
      <c r="N6">
        <v>2.0099999999999998</v>
      </c>
      <c r="O6">
        <v>2.1800000000000002</v>
      </c>
      <c r="P6">
        <v>0.76</v>
      </c>
      <c r="Q6">
        <v>50.65</v>
      </c>
      <c r="R6">
        <v>30</v>
      </c>
      <c r="S6">
        <v>15</v>
      </c>
      <c r="T6">
        <v>85</v>
      </c>
      <c r="U6">
        <v>10</v>
      </c>
      <c r="V6" t="s">
        <v>7</v>
      </c>
      <c r="W6">
        <v>20</v>
      </c>
      <c r="X6">
        <v>2.73</v>
      </c>
      <c r="Y6">
        <v>12.67</v>
      </c>
      <c r="Z6">
        <v>145.63</v>
      </c>
      <c r="AA6">
        <v>17.89</v>
      </c>
      <c r="AB6">
        <v>1.64</v>
      </c>
      <c r="AC6">
        <v>115.45</v>
      </c>
      <c r="AD6">
        <v>342.41</v>
      </c>
      <c r="AE6">
        <v>31.47</v>
      </c>
      <c r="AG6">
        <v>13.49</v>
      </c>
      <c r="AH6">
        <v>32.32</v>
      </c>
      <c r="AI6">
        <v>570.11</v>
      </c>
      <c r="AJ6">
        <v>16.64</v>
      </c>
      <c r="AK6">
        <v>42.04</v>
      </c>
      <c r="AL6">
        <v>6.33</v>
      </c>
      <c r="AM6">
        <v>29.79</v>
      </c>
      <c r="AN6">
        <v>1.79</v>
      </c>
      <c r="AO6">
        <v>6.94</v>
      </c>
      <c r="AP6">
        <v>5.87</v>
      </c>
      <c r="AQ6">
        <v>1.03</v>
      </c>
      <c r="AR6">
        <v>5.79</v>
      </c>
      <c r="AS6">
        <v>1.1000000000000001</v>
      </c>
      <c r="AT6">
        <v>3.15</v>
      </c>
      <c r="AU6">
        <v>0.49</v>
      </c>
      <c r="AV6">
        <v>3.08</v>
      </c>
      <c r="AW6">
        <v>0.47</v>
      </c>
      <c r="AX6">
        <v>1.07</v>
      </c>
      <c r="AY6" t="s">
        <v>37</v>
      </c>
      <c r="AZ6">
        <v>4.01</v>
      </c>
      <c r="BA6">
        <v>4.08</v>
      </c>
    </row>
    <row r="7" spans="1:53" x14ac:dyDescent="0.25">
      <c r="A7" t="s">
        <v>269</v>
      </c>
      <c r="B7" t="s">
        <v>73</v>
      </c>
      <c r="C7">
        <v>59.28</v>
      </c>
      <c r="D7">
        <v>14.88</v>
      </c>
      <c r="E7">
        <v>7.86</v>
      </c>
      <c r="F7">
        <v>6.8</v>
      </c>
      <c r="G7">
        <v>3.31</v>
      </c>
      <c r="H7">
        <v>2.4700000000000002</v>
      </c>
      <c r="I7">
        <v>1.77</v>
      </c>
      <c r="J7">
        <v>0.95</v>
      </c>
      <c r="K7">
        <v>0.15</v>
      </c>
      <c r="L7">
        <v>0.28000000000000003</v>
      </c>
      <c r="M7">
        <v>0.56000000000000005</v>
      </c>
      <c r="N7">
        <v>1.97</v>
      </c>
      <c r="O7">
        <v>0.97</v>
      </c>
      <c r="P7">
        <v>0.3</v>
      </c>
      <c r="Q7">
        <v>20.99</v>
      </c>
      <c r="R7">
        <v>20</v>
      </c>
      <c r="S7">
        <v>10</v>
      </c>
      <c r="T7">
        <v>80</v>
      </c>
      <c r="U7">
        <v>15</v>
      </c>
      <c r="V7" t="s">
        <v>7</v>
      </c>
      <c r="W7">
        <v>30</v>
      </c>
      <c r="X7">
        <v>1.42</v>
      </c>
      <c r="Y7">
        <v>11.98</v>
      </c>
      <c r="Z7">
        <v>146.36000000000001</v>
      </c>
      <c r="AA7">
        <v>17.63</v>
      </c>
      <c r="AB7">
        <v>1.44</v>
      </c>
      <c r="AC7">
        <v>45.32</v>
      </c>
      <c r="AD7">
        <v>385.18</v>
      </c>
      <c r="AE7">
        <v>26.52</v>
      </c>
      <c r="AG7">
        <v>14.14</v>
      </c>
      <c r="AH7">
        <v>7.42</v>
      </c>
      <c r="AI7">
        <v>590.89</v>
      </c>
      <c r="AJ7">
        <v>16.079999999999998</v>
      </c>
      <c r="AK7">
        <v>56.23</v>
      </c>
      <c r="AL7">
        <v>5.88</v>
      </c>
      <c r="AM7">
        <v>28.66</v>
      </c>
      <c r="AN7">
        <v>1.66</v>
      </c>
      <c r="AO7">
        <v>5.72</v>
      </c>
      <c r="AP7">
        <v>5.75</v>
      </c>
      <c r="AQ7">
        <v>0.83</v>
      </c>
      <c r="AR7">
        <v>5.32</v>
      </c>
      <c r="AS7">
        <v>0.99</v>
      </c>
      <c r="AT7">
        <v>2.84</v>
      </c>
      <c r="AU7">
        <v>0.45</v>
      </c>
      <c r="AV7">
        <v>2.91</v>
      </c>
      <c r="AW7">
        <v>0.43</v>
      </c>
      <c r="AX7">
        <v>0.81</v>
      </c>
      <c r="AY7">
        <v>2.02</v>
      </c>
      <c r="AZ7">
        <v>13.72</v>
      </c>
      <c r="BA7">
        <v>1.0900000000000001</v>
      </c>
    </row>
    <row r="8" spans="1:53" x14ac:dyDescent="0.25">
      <c r="A8" t="s">
        <v>269</v>
      </c>
      <c r="B8" t="s">
        <v>74</v>
      </c>
      <c r="C8">
        <v>72.790000000000006</v>
      </c>
      <c r="D8">
        <v>12.28</v>
      </c>
      <c r="E8">
        <v>2.15</v>
      </c>
      <c r="F8">
        <v>1.31</v>
      </c>
      <c r="G8">
        <v>0.47</v>
      </c>
      <c r="H8">
        <v>3.67</v>
      </c>
      <c r="I8">
        <v>4.7699999999999996</v>
      </c>
      <c r="J8">
        <v>0.32</v>
      </c>
      <c r="K8">
        <v>0.03</v>
      </c>
      <c r="L8">
        <v>0.04</v>
      </c>
      <c r="M8">
        <v>0.56999999999999995</v>
      </c>
      <c r="N8">
        <v>3.07</v>
      </c>
      <c r="O8">
        <v>1.52</v>
      </c>
      <c r="P8">
        <v>0.64</v>
      </c>
      <c r="Q8">
        <v>16.260000000000002</v>
      </c>
      <c r="R8" t="s">
        <v>7</v>
      </c>
      <c r="S8">
        <v>25</v>
      </c>
      <c r="T8">
        <v>20</v>
      </c>
      <c r="U8" t="s">
        <v>7</v>
      </c>
      <c r="V8" t="s">
        <v>7</v>
      </c>
      <c r="W8">
        <v>30</v>
      </c>
      <c r="X8">
        <v>1.3</v>
      </c>
      <c r="Y8">
        <v>12</v>
      </c>
      <c r="Z8">
        <v>5.54</v>
      </c>
      <c r="AA8">
        <v>11.06</v>
      </c>
      <c r="AB8">
        <v>1</v>
      </c>
      <c r="AC8">
        <v>116.02</v>
      </c>
      <c r="AD8">
        <v>148.72999999999999</v>
      </c>
      <c r="AE8">
        <v>14.57</v>
      </c>
      <c r="AG8">
        <v>13.34</v>
      </c>
      <c r="AH8">
        <v>6.46</v>
      </c>
      <c r="AI8">
        <v>1610.48</v>
      </c>
      <c r="AJ8">
        <v>43.02</v>
      </c>
      <c r="AK8">
        <v>74.38</v>
      </c>
      <c r="AL8">
        <v>7.6</v>
      </c>
      <c r="AM8">
        <v>25.65</v>
      </c>
      <c r="AN8">
        <v>1.44</v>
      </c>
      <c r="AO8">
        <v>4.21</v>
      </c>
      <c r="AP8">
        <v>3.58</v>
      </c>
      <c r="AQ8">
        <v>0.52</v>
      </c>
      <c r="AR8">
        <v>2.71</v>
      </c>
      <c r="AS8">
        <v>0.64</v>
      </c>
      <c r="AT8">
        <v>1.68</v>
      </c>
      <c r="AU8">
        <v>0.28000000000000003</v>
      </c>
      <c r="AV8">
        <v>1.95</v>
      </c>
      <c r="AW8">
        <v>0.32</v>
      </c>
      <c r="AX8">
        <v>0.9</v>
      </c>
      <c r="AY8">
        <v>111.54</v>
      </c>
      <c r="AZ8">
        <v>19.670000000000002</v>
      </c>
      <c r="BA8">
        <v>1.48</v>
      </c>
    </row>
    <row r="9" spans="1:53" x14ac:dyDescent="0.25">
      <c r="A9" t="s">
        <v>269</v>
      </c>
      <c r="B9" t="s">
        <v>75</v>
      </c>
      <c r="C9">
        <v>72.97</v>
      </c>
      <c r="D9">
        <v>13.65</v>
      </c>
      <c r="E9">
        <v>1.63</v>
      </c>
      <c r="F9">
        <v>0.81</v>
      </c>
      <c r="G9">
        <v>0.13</v>
      </c>
      <c r="H9">
        <v>3.02</v>
      </c>
      <c r="I9">
        <v>5.8</v>
      </c>
      <c r="J9">
        <v>0.17</v>
      </c>
      <c r="K9">
        <v>0.06</v>
      </c>
      <c r="L9">
        <v>0.05</v>
      </c>
      <c r="M9">
        <v>0.52</v>
      </c>
      <c r="N9">
        <v>2.16</v>
      </c>
      <c r="O9">
        <v>0.51</v>
      </c>
      <c r="P9">
        <v>1.1599999999999999</v>
      </c>
      <c r="Q9">
        <v>14.93</v>
      </c>
      <c r="R9">
        <v>50</v>
      </c>
      <c r="S9">
        <v>50</v>
      </c>
      <c r="T9">
        <v>30</v>
      </c>
      <c r="U9" t="s">
        <v>7</v>
      </c>
      <c r="V9" t="s">
        <v>7</v>
      </c>
      <c r="W9">
        <v>40</v>
      </c>
      <c r="X9">
        <v>7.53</v>
      </c>
      <c r="Y9">
        <v>10.62</v>
      </c>
      <c r="Z9">
        <v>5.26</v>
      </c>
      <c r="AA9">
        <v>17.72</v>
      </c>
      <c r="AB9">
        <v>2.04</v>
      </c>
      <c r="AC9">
        <v>259.54000000000002</v>
      </c>
      <c r="AD9">
        <v>122.7</v>
      </c>
      <c r="AE9">
        <v>37.700000000000003</v>
      </c>
      <c r="AG9">
        <v>22.53</v>
      </c>
      <c r="AH9">
        <v>25.38</v>
      </c>
      <c r="AI9">
        <v>1097.47</v>
      </c>
      <c r="AJ9">
        <v>93</v>
      </c>
      <c r="AK9">
        <v>168.08</v>
      </c>
      <c r="AL9">
        <v>17.100000000000001</v>
      </c>
      <c r="AM9">
        <v>58.82</v>
      </c>
      <c r="AN9">
        <v>1.45</v>
      </c>
      <c r="AO9">
        <v>9.39</v>
      </c>
      <c r="AP9">
        <v>8.5399999999999991</v>
      </c>
      <c r="AQ9">
        <v>1.21</v>
      </c>
      <c r="AR9">
        <v>6.84</v>
      </c>
      <c r="AS9">
        <v>1.36</v>
      </c>
      <c r="AT9">
        <v>4.1900000000000004</v>
      </c>
      <c r="AU9">
        <v>0.72</v>
      </c>
      <c r="AV9">
        <v>4.92</v>
      </c>
      <c r="AW9">
        <v>0.83</v>
      </c>
      <c r="AX9">
        <v>8.7100000000000009</v>
      </c>
      <c r="AY9">
        <v>15</v>
      </c>
      <c r="AZ9">
        <v>65.62</v>
      </c>
      <c r="BA9">
        <v>9.92</v>
      </c>
    </row>
    <row r="10" spans="1:53" x14ac:dyDescent="0.25">
      <c r="A10" s="8" t="s">
        <v>262</v>
      </c>
      <c r="B10" t="s">
        <v>196</v>
      </c>
      <c r="C10">
        <v>69.39</v>
      </c>
      <c r="D10">
        <v>14.77</v>
      </c>
      <c r="E10">
        <v>3.09</v>
      </c>
      <c r="F10">
        <v>2.04</v>
      </c>
      <c r="G10">
        <v>0.53</v>
      </c>
      <c r="H10">
        <v>3.27</v>
      </c>
      <c r="I10">
        <v>4.46</v>
      </c>
      <c r="J10">
        <v>0.28999999999999998</v>
      </c>
      <c r="K10">
        <v>0.11</v>
      </c>
      <c r="L10">
        <v>0.18</v>
      </c>
      <c r="M10">
        <v>1.49</v>
      </c>
      <c r="N10">
        <v>1.96</v>
      </c>
      <c r="O10">
        <v>0.37</v>
      </c>
      <c r="P10">
        <v>1.25</v>
      </c>
      <c r="Q10">
        <v>53.99</v>
      </c>
      <c r="R10" t="s">
        <v>7</v>
      </c>
      <c r="S10">
        <v>25</v>
      </c>
      <c r="T10">
        <v>115</v>
      </c>
      <c r="U10" t="s">
        <v>7</v>
      </c>
      <c r="V10" t="s">
        <v>7</v>
      </c>
      <c r="W10">
        <v>50</v>
      </c>
      <c r="X10">
        <v>3.11</v>
      </c>
      <c r="Y10">
        <v>9.26</v>
      </c>
      <c r="Z10">
        <v>11.06</v>
      </c>
      <c r="AA10">
        <v>18.62</v>
      </c>
      <c r="AB10">
        <v>1.37</v>
      </c>
      <c r="AC10">
        <v>188.73</v>
      </c>
      <c r="AD10">
        <v>124.7</v>
      </c>
      <c r="AE10">
        <v>13.7</v>
      </c>
      <c r="AF10">
        <v>193.18</v>
      </c>
      <c r="AG10">
        <v>13.25</v>
      </c>
      <c r="AH10">
        <v>11.16</v>
      </c>
      <c r="AI10">
        <v>833.03</v>
      </c>
      <c r="AJ10">
        <v>35.4</v>
      </c>
      <c r="AK10">
        <v>57.02</v>
      </c>
      <c r="AL10">
        <v>6.12</v>
      </c>
      <c r="AM10">
        <v>21.29</v>
      </c>
      <c r="AN10">
        <v>0.81</v>
      </c>
      <c r="AO10">
        <v>3.99</v>
      </c>
      <c r="AP10">
        <v>3.7</v>
      </c>
      <c r="AQ10">
        <v>0.54</v>
      </c>
      <c r="AR10">
        <v>2.94</v>
      </c>
      <c r="AS10">
        <v>0.46</v>
      </c>
      <c r="AT10">
        <v>1.1200000000000001</v>
      </c>
      <c r="AU10">
        <v>0.13</v>
      </c>
      <c r="AV10">
        <v>0.92</v>
      </c>
      <c r="AW10">
        <v>0.13</v>
      </c>
      <c r="AX10">
        <v>1.86</v>
      </c>
      <c r="AY10" t="s">
        <v>37</v>
      </c>
      <c r="AZ10">
        <v>20.88</v>
      </c>
      <c r="BA10">
        <v>3.07</v>
      </c>
    </row>
    <row r="11" spans="1:53" x14ac:dyDescent="0.25">
      <c r="A11" s="8" t="s">
        <v>262</v>
      </c>
      <c r="B11" t="s">
        <v>197</v>
      </c>
      <c r="C11">
        <v>72.2</v>
      </c>
      <c r="D11">
        <v>15.87</v>
      </c>
      <c r="E11">
        <v>0.48</v>
      </c>
      <c r="F11">
        <v>0.33</v>
      </c>
      <c r="G11">
        <v>0</v>
      </c>
      <c r="H11">
        <v>6.7</v>
      </c>
      <c r="I11">
        <v>2.5499999999999998</v>
      </c>
      <c r="J11">
        <v>0.01</v>
      </c>
      <c r="K11">
        <v>0.06</v>
      </c>
      <c r="L11">
        <v>0.25</v>
      </c>
      <c r="M11">
        <v>0.82</v>
      </c>
      <c r="N11">
        <v>2.54</v>
      </c>
      <c r="O11">
        <v>114.37</v>
      </c>
      <c r="P11">
        <v>2.64</v>
      </c>
      <c r="Q11">
        <v>85.67</v>
      </c>
      <c r="R11">
        <v>45</v>
      </c>
      <c r="S11">
        <v>10</v>
      </c>
      <c r="T11">
        <v>65</v>
      </c>
      <c r="U11" t="s">
        <v>7</v>
      </c>
      <c r="V11" t="s">
        <v>7</v>
      </c>
      <c r="W11">
        <v>20</v>
      </c>
      <c r="X11">
        <v>304.12</v>
      </c>
      <c r="Y11">
        <v>8.8000000000000007</v>
      </c>
      <c r="Z11" t="s">
        <v>108</v>
      </c>
      <c r="AA11">
        <v>27.45</v>
      </c>
      <c r="AB11">
        <v>4.49</v>
      </c>
      <c r="AC11">
        <v>428.95</v>
      </c>
      <c r="AD11" t="s">
        <v>148</v>
      </c>
      <c r="AE11">
        <v>0.49</v>
      </c>
      <c r="AF11">
        <v>40.549999999999997</v>
      </c>
      <c r="AG11">
        <v>186.53</v>
      </c>
      <c r="AH11">
        <v>17.170000000000002</v>
      </c>
      <c r="AI11" t="s">
        <v>108</v>
      </c>
      <c r="AJ11">
        <v>1.1399999999999999</v>
      </c>
      <c r="AK11" t="s">
        <v>8</v>
      </c>
      <c r="AL11" t="s">
        <v>130</v>
      </c>
      <c r="AM11" t="s">
        <v>131</v>
      </c>
      <c r="AN11">
        <v>0.02</v>
      </c>
      <c r="AO11" t="s">
        <v>130</v>
      </c>
      <c r="AP11" t="s">
        <v>149</v>
      </c>
      <c r="AQ11" t="s">
        <v>148</v>
      </c>
      <c r="AR11">
        <v>0.03</v>
      </c>
      <c r="AS11" t="s">
        <v>148</v>
      </c>
      <c r="AT11" t="s">
        <v>132</v>
      </c>
      <c r="AU11" t="s">
        <v>148</v>
      </c>
      <c r="AV11">
        <v>0.05</v>
      </c>
      <c r="AW11">
        <v>0.01</v>
      </c>
      <c r="AX11">
        <v>82.77</v>
      </c>
      <c r="AY11">
        <v>20.78</v>
      </c>
      <c r="AZ11">
        <v>9.91</v>
      </c>
      <c r="BA11">
        <v>13.14</v>
      </c>
    </row>
    <row r="12" spans="1:53" x14ac:dyDescent="0.25">
      <c r="A12" s="8" t="s">
        <v>262</v>
      </c>
      <c r="B12" t="s">
        <v>198</v>
      </c>
      <c r="C12">
        <v>73.459999999999994</v>
      </c>
      <c r="D12">
        <v>13.75</v>
      </c>
      <c r="E12">
        <v>1.29</v>
      </c>
      <c r="F12">
        <v>0.9</v>
      </c>
      <c r="G12">
        <v>0.02</v>
      </c>
      <c r="H12">
        <v>3.54</v>
      </c>
      <c r="I12">
        <v>5.68</v>
      </c>
      <c r="J12">
        <v>0.06</v>
      </c>
      <c r="K12">
        <v>0.05</v>
      </c>
      <c r="L12">
        <v>0.03</v>
      </c>
      <c r="M12">
        <v>0.53</v>
      </c>
      <c r="N12">
        <v>3.06</v>
      </c>
      <c r="O12">
        <v>3.1</v>
      </c>
      <c r="P12">
        <v>2.5499999999999998</v>
      </c>
      <c r="Q12">
        <v>36.07</v>
      </c>
      <c r="R12" t="s">
        <v>7</v>
      </c>
      <c r="S12">
        <v>80</v>
      </c>
      <c r="T12">
        <v>70</v>
      </c>
      <c r="U12" t="s">
        <v>7</v>
      </c>
      <c r="V12" t="s">
        <v>7</v>
      </c>
      <c r="W12">
        <v>35</v>
      </c>
      <c r="X12">
        <v>4.6399999999999997</v>
      </c>
      <c r="Y12">
        <v>9.27</v>
      </c>
      <c r="Z12" t="s">
        <v>108</v>
      </c>
      <c r="AA12">
        <v>23.29</v>
      </c>
      <c r="AB12">
        <v>1.72</v>
      </c>
      <c r="AC12">
        <v>399.99</v>
      </c>
      <c r="AD12">
        <v>12.83</v>
      </c>
      <c r="AE12">
        <v>93.03</v>
      </c>
      <c r="AF12">
        <v>127.39</v>
      </c>
      <c r="AG12">
        <v>37.04</v>
      </c>
      <c r="AH12">
        <v>9.15</v>
      </c>
      <c r="AI12">
        <v>36.549999999999997</v>
      </c>
      <c r="AJ12">
        <v>27.25</v>
      </c>
      <c r="AK12">
        <v>57.61</v>
      </c>
      <c r="AL12">
        <v>7.08</v>
      </c>
      <c r="AM12">
        <v>27.95</v>
      </c>
      <c r="AN12">
        <v>0.32</v>
      </c>
      <c r="AO12">
        <v>8.11</v>
      </c>
      <c r="AP12">
        <v>9.2100000000000009</v>
      </c>
      <c r="AQ12">
        <v>1.98</v>
      </c>
      <c r="AR12">
        <v>13.84</v>
      </c>
      <c r="AS12">
        <v>2.93</v>
      </c>
      <c r="AT12">
        <v>9.08</v>
      </c>
      <c r="AU12">
        <v>1.53</v>
      </c>
      <c r="AV12">
        <v>9.4600000000000009</v>
      </c>
      <c r="AW12">
        <v>1.45</v>
      </c>
      <c r="AX12">
        <v>3.62</v>
      </c>
      <c r="AY12" t="s">
        <v>37</v>
      </c>
      <c r="AZ12">
        <v>82.99</v>
      </c>
      <c r="BA12">
        <v>19.12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PTS</vt:lpstr>
      <vt:lpstr>Channel</vt:lpstr>
      <vt:lpstr>Regolith</vt:lpstr>
      <vt:lpstr>BRS</vt:lpstr>
      <vt:lpstr>PCS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2026-01-28T05:35:56Z</dcterms:modified>
</cp:coreProperties>
</file>